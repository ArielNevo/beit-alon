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בקרה" sheetId="1" state="visible" r:id="rId1"/>
    <sheet xmlns:r="http://schemas.openxmlformats.org/officeDocument/2006/relationships" name="משימות" sheetId="2" state="visible" r:id="rId2"/>
    <sheet xmlns:r="http://schemas.openxmlformats.org/officeDocument/2006/relationships" name="גאנט" sheetId="3" state="visible" r:id="rId3"/>
    <sheet xmlns:r="http://schemas.openxmlformats.org/officeDocument/2006/relationships" name="לפי אחראי" sheetId="4" state="visible" r:id="rId4"/>
    <sheet xmlns:r="http://schemas.openxmlformats.org/officeDocument/2006/relationships" name="קנבן" sheetId="5" state="visible" r:id="rId5"/>
    <sheet xmlns:r="http://schemas.openxmlformats.org/officeDocument/2006/relationships" name="אבני דרך" sheetId="6" state="visible" r:id="rId6"/>
    <sheet xmlns:r="http://schemas.openxmlformats.org/officeDocument/2006/relationships" name="החלטות" sheetId="7" state="visible" r:id="rId7"/>
    <sheet xmlns:r="http://schemas.openxmlformats.org/officeDocument/2006/relationships" name="אנשי קשר והצעות" sheetId="8" state="visible" r:id="rId8"/>
    <sheet xmlns:r="http://schemas.openxmlformats.org/officeDocument/2006/relationships" name="איך משתמשים" sheetId="9" state="visible" r:id="rId9"/>
  </sheets>
  <definedNames>
    <definedName name="KeyA">'אבני דרך'!$C$12</definedName>
    <definedName name="KeyB">'אבני דרך'!$D$12</definedName>
    <definedName name="M_Key">'אבני דרך'!$J$5:$J$16</definedName>
    <definedName name="M_ID">'אבני דרך'!$A$5:$A$16</definedName>
    <definedName name="M_Name">'אבני דרך'!$B$5:$B$16</definedName>
    <definedName name="M_Date">'אבני דרך'!$E$5:$E$16</definedName>
    <definedName name="T_ID">'משימות'!$A$5:$A$95</definedName>
    <definedName name="T_Phase">'משימות'!$B$5:$B$95</definedName>
    <definedName name="T_Task">'משימות'!$C$5:$C$95</definedName>
    <definedName name="T_Owner">'משימות'!$D$5:$D$95</definedName>
    <definedName name="T_Prio">'משימות'!$E$5:$E$95</definedName>
    <definedName name="T_Status">'משימות'!$F$5:$F$95</definedName>
    <definedName name="T_Eff">'משימות'!$G$5:$G$95</definedName>
    <definedName name="T_Prog">'משימות'!$I$5:$I$95</definedName>
    <definedName name="T_Start">'משימות'!$J$5:$J$95</definedName>
    <definedName name="T_Due">'משימות'!$K$5:$K$95</definedName>
    <definedName name="T_Up">'משימות'!$V$5:$V$95</definedName>
    <definedName name="T_Kan">'משימות'!$W$5:$W$95</definedName>
    <definedName name="T_Ariel">'משימות'!$X$5:$X$95</definedName>
    <definedName name="T_Rinat">'משימות'!$Y$5:$Y$95</definedName>
    <definedName name="T_Tamar">'משימות'!$Z$5:$Z$95</definedName>
    <definedName name="T_Other">'משימות'!$AA$5:$AA$95</definedName>
    <definedName name="Scenario">'לוח בקרה'!$D$4</definedName>
    <definedName name="KeyActual">'לוח בקרה'!$K$4</definedName>
    <definedName name="TodayOverride">'לוח בקרה'!$N$4</definedName>
    <definedName name="Today_">'לוח בקרה'!$S$4</definedName>
    <definedName name="KeyActive">'לוח בקרה'!$T$4</definedName>
    <definedName name="EvictDate">'לוח בקרה'!$U$4</definedName>
    <definedName name="D_No">'החלטות'!$A$5:$A$16</definedName>
    <definedName name="D_Name">'החלטות'!$B$5:$B$16</definedName>
    <definedName name="D_Task">'החלטות'!$E$5:$E$16</definedName>
    <definedName name="D_Due">'החלטות'!$H$5:$H$16</definedName>
    <definedName name="D_Status">'החלטות'!$I$5:$I$16</definedName>
    <definedName name="D_Key">'החלטות'!$K$5:$K$16</definedName>
    <definedName name="_xlnm.Print_Area" localSheetId="0">'לוח בקרה'!$A$1:$R$61</definedName>
    <definedName name="_xlnm.Print_Titles" localSheetId="1">'משימות'!$4:$4</definedName>
    <definedName name="_xlnm.Print_Area" localSheetId="1">'משימות'!$A$1:$U$95</definedName>
    <definedName name="_xlnm.Print_Titles" localSheetId="2">'גאנט'!$3:$5</definedName>
    <definedName name="_xlnm.Print_Titles" localSheetId="3">'לפי אחראי'!$4:$6</definedName>
    <definedName name="_xlnm.Print_Titles" localSheetId="4">'קנבן'!$4:$5</definedName>
    <definedName name="_xlnm.Print_Titles" localSheetId="5">'אבני דרך'!$4:$4</definedName>
    <definedName name="_xlnm.Print_Titles" localSheetId="6">'החלטות'!$4:$4</definedName>
    <definedName name="_xlnm.Print_Titles" localSheetId="7">'אנשי קשר והצעות'!$4:$4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"/>
    <numFmt numFmtId="166" formatCode="yyyy-mm-dd"/>
    <numFmt numFmtId="167" formatCode="dd/mm/yy"/>
    <numFmt numFmtId="168" formatCode="0;[Red]-0"/>
    <numFmt numFmtId="169" formatCode="dd/mm"/>
    <numFmt numFmtId="170" formatCode="#,##0 ₪"/>
  </numFmts>
  <fonts count="53">
    <font>
      <name val="Calibri"/>
      <family val="2"/>
      <color theme="1"/>
      <sz val="11"/>
      <scheme val="minor"/>
    </font>
    <font>
      <name val="Rubik"/>
      <b val="1"/>
      <color rgb="00FFFFFF"/>
      <sz val="18"/>
    </font>
    <font>
      <name val="Rubik"/>
      <i val="1"/>
      <color rgb="00E5E7EB"/>
      <sz val="10"/>
    </font>
    <font>
      <name val="Rubik"/>
      <b val="1"/>
      <color rgb="00FFFFFF"/>
      <sz val="10"/>
    </font>
    <font>
      <name val="Rubik"/>
      <color rgb="001F2937"/>
      <sz val="10"/>
    </font>
    <font>
      <name val="Rubik"/>
      <b val="1"/>
      <color rgb="00B7791F"/>
      <sz val="10"/>
    </font>
    <font>
      <name val="Rubik"/>
      <b val="1"/>
      <color rgb="001F3B57"/>
      <sz val="10"/>
    </font>
    <font>
      <name val="Rubik"/>
      <b val="1"/>
      <color rgb="006B7280"/>
      <sz val="9"/>
    </font>
    <font>
      <name val="Rubik"/>
      <b val="1"/>
      <color rgb="00374151"/>
      <sz val="9"/>
    </font>
    <font>
      <name val="Rubik"/>
      <b val="1"/>
      <color rgb="001D4ED8"/>
      <sz val="9"/>
    </font>
    <font>
      <name val="Rubik"/>
      <b val="1"/>
      <color rgb="0092400E"/>
      <sz val="9"/>
    </font>
    <font>
      <name val="Rubik"/>
      <b val="1"/>
      <color rgb="006D28D9"/>
      <sz val="9"/>
    </font>
    <font>
      <name val="Rubik"/>
      <b val="1"/>
      <color rgb="00B91C1C"/>
      <sz val="9"/>
    </font>
    <font>
      <name val="Rubik"/>
      <b val="1"/>
      <color rgb="0015803D"/>
      <sz val="9"/>
    </font>
    <font>
      <name val="Rubik"/>
      <b val="1"/>
      <color rgb="009CA3AF"/>
      <sz val="9"/>
    </font>
    <font>
      <name val="Rubik"/>
      <b val="1"/>
      <color rgb="001F2937"/>
      <sz val="10"/>
    </font>
    <font>
      <name val="Rubik"/>
      <color rgb="006B7280"/>
      <sz val="8"/>
    </font>
    <font>
      <name val="Rubik"/>
      <b val="1"/>
      <color rgb="00E5E7EB"/>
      <sz val="10"/>
    </font>
    <font>
      <name val="Rubik"/>
      <b val="1"/>
      <color rgb="001F3B57"/>
      <sz val="14"/>
    </font>
    <font>
      <name val="Rubik"/>
      <color rgb="001F2937"/>
      <sz val="9"/>
    </font>
    <font>
      <name val="Rubik"/>
      <b val="1"/>
      <color rgb="001F3B57"/>
      <sz val="11"/>
    </font>
    <font>
      <name val="Rubik"/>
      <i val="1"/>
      <color rgb="006B7280"/>
      <sz val="9"/>
    </font>
    <font>
      <name val="Rubik"/>
      <b val="1"/>
      <color rgb="001F3B57"/>
      <sz val="26"/>
    </font>
    <font>
      <name val="Rubik"/>
      <color rgb="006B7280"/>
      <sz val="9"/>
    </font>
    <font>
      <name val="Rubik"/>
      <b val="1"/>
      <color rgb="0015803D"/>
      <sz val="26"/>
    </font>
    <font>
      <name val="Rubik"/>
      <b val="1"/>
      <color rgb="001D4ED8"/>
      <sz val="26"/>
    </font>
    <font>
      <name val="Rubik"/>
      <b val="1"/>
      <color rgb="00B91C1C"/>
      <sz val="26"/>
    </font>
    <font>
      <name val="Rubik"/>
      <b val="1"/>
      <color rgb="006D28D9"/>
      <sz val="26"/>
    </font>
    <font>
      <name val="Rubik"/>
      <b val="1"/>
      <color rgb="002A9D8F"/>
      <sz val="26"/>
    </font>
    <font>
      <name val="Rubik"/>
      <b val="1"/>
      <color rgb="00B7791F"/>
      <sz val="26"/>
    </font>
    <font>
      <name val="Rubik"/>
      <b val="1"/>
      <color rgb="00E76F51"/>
      <sz val="26"/>
    </font>
    <font>
      <name val="Rubik"/>
      <b val="1"/>
      <color rgb="001F3B57"/>
      <sz val="12"/>
    </font>
    <font>
      <name val="Rubik"/>
      <b val="1"/>
      <color rgb="00E76F51"/>
      <sz val="12"/>
    </font>
    <font>
      <name val="Rubik"/>
      <b val="1"/>
      <color rgb="00FFFFFF"/>
      <sz val="9"/>
    </font>
    <font>
      <name val="Rubik"/>
      <b val="1"/>
      <color rgb="001F3B57"/>
      <sz val="9"/>
    </font>
    <font>
      <name val="Rubik"/>
      <b val="1"/>
      <color rgb="006D28D9"/>
      <sz val="12"/>
    </font>
    <font>
      <name val="Rubik"/>
      <b val="1"/>
      <color rgb="00B7791F"/>
      <sz val="12"/>
    </font>
    <font>
      <name val="Rubik"/>
      <b val="1"/>
      <color rgb="006D28D9"/>
      <sz val="10"/>
    </font>
    <font>
      <name val="Rubik"/>
      <b val="1"/>
      <color rgb="00B7791F"/>
      <sz val="9"/>
    </font>
    <font>
      <name val="Rubik"/>
      <b val="1"/>
      <color rgb="002A9D8F"/>
      <sz val="12"/>
    </font>
    <font>
      <name val="Rubik"/>
      <b val="1"/>
      <color rgb="001F3B57"/>
      <sz val="8"/>
    </font>
    <font>
      <name val="Rubik"/>
      <b val="1"/>
      <color rgb="00DC2626"/>
      <sz val="10"/>
    </font>
    <font>
      <name val="Rubik"/>
      <b val="1"/>
      <color rgb="00DC2626"/>
      <sz val="9"/>
    </font>
    <font>
      <name val="Rubik"/>
      <b val="1"/>
      <color rgb="0092400E"/>
      <sz val="10"/>
    </font>
    <font>
      <name val="Rubik"/>
      <b val="1"/>
      <color rgb="00D97706"/>
      <sz val="11"/>
    </font>
    <font>
      <name val="Rubik"/>
      <b val="1"/>
      <color rgb="00FFFFFF"/>
      <sz val="8"/>
    </font>
    <font>
      <name val="Rubik"/>
      <i val="1"/>
      <color rgb="006B7280"/>
      <sz val="8"/>
    </font>
    <font>
      <name val="Rubik"/>
      <b val="1"/>
      <color rgb="00FFFFFF"/>
      <sz val="13"/>
    </font>
    <font>
      <name val="Rubik"/>
      <b val="1"/>
      <color rgb="001E40AF"/>
      <sz val="9"/>
    </font>
    <font>
      <name val="Rubik"/>
      <b val="1"/>
      <color rgb="009D174D"/>
      <sz val="9"/>
    </font>
    <font>
      <name val="Rubik"/>
      <b val="1"/>
      <color rgb="005B21B6"/>
      <sz val="9"/>
    </font>
    <font>
      <name val="Rubik"/>
      <b val="1"/>
      <color rgb="00FFFFFF"/>
      <sz val="12"/>
    </font>
    <font>
      <name val="Rubik"/>
      <b val="1"/>
      <color rgb="0015803D"/>
      <sz val="10"/>
    </font>
  </fonts>
  <fills count="60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2C5282"/>
        <bgColor rgb="002C5282"/>
      </patternFill>
    </fill>
    <fill>
      <patternFill patternType="solid">
        <fgColor rgb="00B7791F"/>
        <bgColor rgb="00B7791F"/>
      </patternFill>
    </fill>
    <fill>
      <patternFill patternType="solid">
        <fgColor rgb="00FFF7E6"/>
        <bgColor rgb="00FFF7E6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2A9D8F"/>
        <bgColor rgb="002A9D8F"/>
      </patternFill>
    </fill>
    <fill>
      <patternFill patternType="solid">
        <fgColor rgb="00FFF6D5"/>
        <bgColor rgb="00FFF6D5"/>
      </patternFill>
    </fill>
    <fill>
      <patternFill patternType="solid">
        <fgColor rgb="00EEF6F5"/>
        <bgColor rgb="00EEF6F5"/>
      </patternFill>
    </fill>
    <fill>
      <patternFill patternType="solid">
        <fgColor rgb="00EAF0F7"/>
        <bgColor rgb="00EAF0F7"/>
      </patternFill>
    </fill>
    <fill>
      <patternFill patternType="solid">
        <fgColor rgb="0015803D"/>
        <bgColor rgb="0015803D"/>
      </patternFill>
    </fill>
    <fill>
      <patternFill patternType="solid">
        <fgColor rgb="00E8F7EE"/>
        <bgColor rgb="00E8F7EE"/>
      </patternFill>
    </fill>
    <fill>
      <patternFill patternType="solid">
        <fgColor rgb="001D4ED8"/>
        <bgColor rgb="001D4ED8"/>
      </patternFill>
    </fill>
    <fill>
      <patternFill patternType="solid">
        <fgColor rgb="00E7F0FD"/>
        <bgColor rgb="00E7F0FD"/>
      </patternFill>
    </fill>
    <fill>
      <patternFill patternType="solid">
        <fgColor rgb="00B91C1C"/>
        <bgColor rgb="00B91C1C"/>
      </patternFill>
    </fill>
    <fill>
      <patternFill patternType="solid">
        <fgColor rgb="00FDECEC"/>
        <bgColor rgb="00FDECEC"/>
      </patternFill>
    </fill>
    <fill>
      <patternFill patternType="solid">
        <fgColor rgb="006D28D9"/>
        <bgColor rgb="006D28D9"/>
      </patternFill>
    </fill>
    <fill>
      <patternFill patternType="solid">
        <fgColor rgb="00F2EEFD"/>
        <bgColor rgb="00F2EEFD"/>
      </patternFill>
    </fill>
    <fill>
      <patternFill patternType="solid">
        <fgColor rgb="00E6F4F2"/>
        <bgColor rgb="00E6F4F2"/>
      </patternFill>
    </fill>
    <fill>
      <patternFill patternType="solid">
        <fgColor rgb="00FDF6E3"/>
        <bgColor rgb="00FDF6E3"/>
      </patternFill>
    </fill>
    <fill>
      <patternFill patternType="solid">
        <fgColor rgb="00E76F51"/>
        <bgColor rgb="00E76F51"/>
      </patternFill>
    </fill>
    <fill>
      <patternFill patternType="solid">
        <fgColor rgb="00FDEEE9"/>
        <bgColor rgb="00FDEEE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BF7"/>
        <bgColor rgb="00FFFBF7"/>
      </patternFill>
    </fill>
    <fill>
      <patternFill patternType="solid">
        <fgColor rgb="00FAF8FF"/>
        <bgColor rgb="00FAF8FF"/>
      </patternFill>
    </fill>
    <fill>
      <patternFill patternType="solid">
        <fgColor rgb="00FFFCF2"/>
        <bgColor rgb="00FFFCF2"/>
      </patternFill>
    </fill>
    <fill>
      <patternFill patternType="solid">
        <fgColor rgb="004C1D95"/>
        <bgColor rgb="004C1D95"/>
      </patternFill>
    </fill>
    <fill>
      <patternFill patternType="solid">
        <fgColor rgb="001E40AF"/>
        <bgColor rgb="001E40AF"/>
      </patternFill>
    </fill>
    <fill>
      <patternFill patternType="solid">
        <fgColor rgb="00E8EEF6"/>
        <bgColor rgb="00E8EEF6"/>
      </patternFill>
    </fill>
    <fill>
      <patternFill patternType="solid">
        <fgColor rgb="00FFFBEB"/>
        <bgColor rgb="00FFFBEB"/>
      </patternFill>
    </fill>
    <fill>
      <patternFill patternType="solid">
        <fgColor rgb="005B8DB8"/>
        <bgColor rgb="005B8DB8"/>
      </patternFill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  <fill>
      <patternFill patternType="solid">
        <fgColor rgb="00D1D5DB"/>
        <bgColor rgb="00D1D5DB"/>
      </patternFill>
    </fill>
    <fill>
      <patternFill patternType="solid">
        <fgColor rgb="009D174D"/>
        <bgColor rgb="009D174D"/>
      </patternFill>
    </fill>
    <fill>
      <patternFill patternType="solid">
        <fgColor rgb="00FCE7F3"/>
        <bgColor rgb="00FCE7F3"/>
      </patternFill>
    </fill>
    <fill>
      <patternFill patternType="solid">
        <fgColor rgb="005B21B6"/>
        <bgColor rgb="005B21B6"/>
      </patternFill>
    </fill>
    <fill>
      <patternFill patternType="solid">
        <fgColor rgb="00374151"/>
        <bgColor rgb="00374151"/>
      </patternFill>
    </fill>
    <fill>
      <patternFill patternType="solid">
        <fgColor rgb="000369A1"/>
        <bgColor rgb="000369A1"/>
      </patternFill>
    </fill>
    <fill>
      <patternFill patternType="solid">
        <fgColor rgb="006B7280"/>
        <bgColor rgb="006B7280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16A34A"/>
        <bgColor rgb="0016A34A"/>
      </patternFill>
    </fill>
    <fill>
      <patternFill patternType="solid">
        <fgColor rgb="009CA3AF"/>
        <bgColor rgb="009CA3AF"/>
      </patternFill>
    </fill>
    <fill>
      <patternFill patternType="solid">
        <fgColor rgb="00115E59"/>
        <bgColor rgb="00115E59"/>
      </patternFill>
    </fill>
    <fill>
      <patternFill patternType="solid">
        <fgColor rgb="000F766E"/>
        <bgColor rgb="000F766E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1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left style="medium">
        <color rgb="001F3B57"/>
      </left>
      <right style="medium">
        <color rgb="001F3B57"/>
      </right>
      <top style="medium">
        <color rgb="001F3B57"/>
      </top>
      <bottom style="medium">
        <color rgb="001F3B57"/>
      </bottom>
    </border>
    <border>
      <right style="medium">
        <color rgb="00FFFFFF"/>
      </right>
    </border>
    <border>
      <left style="medium">
        <color rgb="00FFFFFF"/>
      </left>
    </border>
    <border>
      <bottom style="medium">
        <color rgb="001F3B57"/>
      </bottom>
    </border>
    <border>
      <bottom style="medium">
        <color rgb="00E76F51"/>
      </bottom>
    </border>
    <border>
      <bottom style="medium">
        <color rgb="006D28D9"/>
      </bottom>
    </border>
    <border>
      <bottom style="medium">
        <color rgb="00B7791F"/>
      </bottom>
    </border>
    <border>
      <bottom style="medium">
        <color rgb="002A9D8F"/>
      </bottom>
    </border>
    <border>
      <left style="hair">
        <color rgb="00D9DEE5"/>
      </left>
      <right style="hair">
        <color rgb="00D9DEE5"/>
      </right>
      <bottom style="hair">
        <color rgb="00D9DEE5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17" fillId="3" borderId="0" applyAlignment="1" pivotButton="0" quotePrefix="0" xfId="0">
      <alignment horizontal="right" vertical="center" wrapText="1" readingOrder="2"/>
    </xf>
    <xf numFmtId="0" fontId="2" fillId="3" borderId="0" applyAlignment="1" pivotButton="0" quotePrefix="0" xfId="0">
      <alignment horizontal="right" vertical="center" wrapText="1" readingOrder="2"/>
    </xf>
    <xf numFmtId="0" fontId="3" fillId="13" borderId="1" applyAlignment="1" pivotButton="0" quotePrefix="0" xfId="0">
      <alignment horizontal="center" vertical="center" wrapText="1" readingOrder="2"/>
    </xf>
    <xf numFmtId="0" fontId="18" fillId="14" borderId="2" applyAlignment="1" pivotButton="0" quotePrefix="0" xfId="0">
      <alignment horizontal="center" vertical="center" wrapText="1" readingOrder="2"/>
    </xf>
    <xf numFmtId="0" fontId="19" fillId="15" borderId="1" applyAlignment="1" pivotButton="0" quotePrefix="0" xfId="0">
      <alignment horizontal="right" vertical="center" wrapText="1" readingOrder="2"/>
    </xf>
    <xf numFmtId="165" fontId="20" fillId="14" borderId="2" applyAlignment="1" pivotButton="0" quotePrefix="0" xfId="0">
      <alignment horizontal="center" vertical="center" wrapText="1" readingOrder="2"/>
    </xf>
    <xf numFmtId="0" fontId="21" fillId="0" borderId="0" applyAlignment="1" pivotButton="0" quotePrefix="0" xfId="0">
      <alignment horizontal="right" vertical="center" wrapText="1" readingOrder="2"/>
    </xf>
    <xf numFmtId="0" fontId="3" fillId="2" borderId="3" applyAlignment="1" pivotButton="0" quotePrefix="0" xfId="0">
      <alignment horizontal="center" vertical="center" wrapText="1" readingOrder="2"/>
    </xf>
    <xf numFmtId="0" fontId="3" fillId="2" borderId="4" applyAlignment="1" pivotButton="0" quotePrefix="0" xfId="0">
      <alignment horizontal="center" vertical="center" wrapText="1" readingOrder="2"/>
    </xf>
    <xf numFmtId="0" fontId="3" fillId="17" borderId="3" applyAlignment="1" pivotButton="0" quotePrefix="0" xfId="0">
      <alignment horizontal="center" vertical="center" wrapText="1" readingOrder="2"/>
    </xf>
    <xf numFmtId="0" fontId="3" fillId="17" borderId="4" applyAlignment="1" pivotButton="0" quotePrefix="0" xfId="0">
      <alignment horizontal="center" vertical="center" wrapText="1" readingOrder="2"/>
    </xf>
    <xf numFmtId="0" fontId="3" fillId="19" borderId="3" applyAlignment="1" pivotButton="0" quotePrefix="0" xfId="0">
      <alignment horizontal="center" vertical="center" wrapText="1" readingOrder="2"/>
    </xf>
    <xf numFmtId="0" fontId="3" fillId="19" borderId="4" applyAlignment="1" pivotButton="0" quotePrefix="0" xfId="0">
      <alignment horizontal="center" vertical="center" wrapText="1" readingOrder="2"/>
    </xf>
    <xf numFmtId="0" fontId="3" fillId="21" borderId="3" applyAlignment="1" pivotButton="0" quotePrefix="0" xfId="0">
      <alignment horizontal="center" vertical="center" wrapText="1" readingOrder="2"/>
    </xf>
    <xf numFmtId="0" fontId="3" fillId="21" borderId="4" applyAlignment="1" pivotButton="0" quotePrefix="0" xfId="0">
      <alignment horizontal="center" vertical="center" wrapText="1" readingOrder="2"/>
    </xf>
    <xf numFmtId="0" fontId="3" fillId="23" borderId="3" applyAlignment="1" pivotButton="0" quotePrefix="0" xfId="0">
      <alignment horizontal="center" vertical="center" wrapText="1" readingOrder="2"/>
    </xf>
    <xf numFmtId="0" fontId="3" fillId="23" borderId="4" applyAlignment="1" pivotButton="0" quotePrefix="0" xfId="0">
      <alignment horizontal="center" vertical="center" wrapText="1" readingOrder="2"/>
    </xf>
    <xf numFmtId="0" fontId="3" fillId="13" borderId="3" applyAlignment="1" pivotButton="0" quotePrefix="0" xfId="0">
      <alignment horizontal="center" vertical="center" wrapText="1" readingOrder="2"/>
    </xf>
    <xf numFmtId="0" fontId="3" fillId="13" borderId="4" applyAlignment="1" pivotButton="0" quotePrefix="0" xfId="0">
      <alignment horizontal="center" vertical="center" wrapText="1" readingOrder="2"/>
    </xf>
    <xf numFmtId="0" fontId="3" fillId="4" borderId="3" applyAlignment="1" pivotButton="0" quotePrefix="0" xfId="0">
      <alignment horizontal="center" vertical="center" wrapText="1" readingOrder="2"/>
    </xf>
    <xf numFmtId="0" fontId="3" fillId="4" borderId="4" applyAlignment="1" pivotButton="0" quotePrefix="0" xfId="0">
      <alignment horizontal="center" vertical="center" wrapText="1" readingOrder="2"/>
    </xf>
    <xf numFmtId="0" fontId="3" fillId="27" borderId="3" applyAlignment="1" pivotButton="0" quotePrefix="0" xfId="0">
      <alignment horizontal="center" vertical="center" wrapText="1" readingOrder="2"/>
    </xf>
    <xf numFmtId="0" fontId="3" fillId="27" borderId="4" applyAlignment="1" pivotButton="0" quotePrefix="0" xfId="0">
      <alignment horizontal="center" vertical="center" wrapText="1" readingOrder="2"/>
    </xf>
    <xf numFmtId="1" fontId="22" fillId="16" borderId="3" applyAlignment="1" pivotButton="0" quotePrefix="0" xfId="0">
      <alignment horizontal="center" vertical="center" wrapText="1" readingOrder="2"/>
    </xf>
    <xf numFmtId="1" fontId="22" fillId="16" borderId="4" applyAlignment="1" pivotButton="0" quotePrefix="0" xfId="0">
      <alignment horizontal="center" vertical="center" wrapText="1" readingOrder="2"/>
    </xf>
    <xf numFmtId="1" fontId="24" fillId="18" borderId="3" applyAlignment="1" pivotButton="0" quotePrefix="0" xfId="0">
      <alignment horizontal="center" vertical="center" wrapText="1" readingOrder="2"/>
    </xf>
    <xf numFmtId="1" fontId="24" fillId="18" borderId="4" applyAlignment="1" pivotButton="0" quotePrefix="0" xfId="0">
      <alignment horizontal="center" vertical="center" wrapText="1" readingOrder="2"/>
    </xf>
    <xf numFmtId="1" fontId="25" fillId="20" borderId="3" applyAlignment="1" pivotButton="0" quotePrefix="0" xfId="0">
      <alignment horizontal="center" vertical="center" wrapText="1" readingOrder="2"/>
    </xf>
    <xf numFmtId="1" fontId="25" fillId="20" borderId="4" applyAlignment="1" pivotButton="0" quotePrefix="0" xfId="0">
      <alignment horizontal="center" vertical="center" wrapText="1" readingOrder="2"/>
    </xf>
    <xf numFmtId="1" fontId="26" fillId="22" borderId="3" applyAlignment="1" pivotButton="0" quotePrefix="0" xfId="0">
      <alignment horizontal="center" vertical="center" wrapText="1" readingOrder="2"/>
    </xf>
    <xf numFmtId="1" fontId="26" fillId="22" borderId="4" applyAlignment="1" pivotButton="0" quotePrefix="0" xfId="0">
      <alignment horizontal="center" vertical="center" wrapText="1" readingOrder="2"/>
    </xf>
    <xf numFmtId="1" fontId="27" fillId="24" borderId="3" applyAlignment="1" pivotButton="0" quotePrefix="0" xfId="0">
      <alignment horizontal="center" vertical="center" wrapText="1" readingOrder="2"/>
    </xf>
    <xf numFmtId="1" fontId="27" fillId="24" borderId="4" applyAlignment="1" pivotButton="0" quotePrefix="0" xfId="0">
      <alignment horizontal="center" vertical="center" wrapText="1" readingOrder="2"/>
    </xf>
    <xf numFmtId="9" fontId="28" fillId="25" borderId="3" applyAlignment="1" pivotButton="0" quotePrefix="0" xfId="0">
      <alignment horizontal="center" vertical="center" wrapText="1" readingOrder="2"/>
    </xf>
    <xf numFmtId="9" fontId="28" fillId="25" borderId="4" applyAlignment="1" pivotButton="0" quotePrefix="0" xfId="0">
      <alignment horizontal="center" vertical="center" wrapText="1" readingOrder="2"/>
    </xf>
    <xf numFmtId="1" fontId="29" fillId="26" borderId="3" applyAlignment="1" pivotButton="0" quotePrefix="0" xfId="0">
      <alignment horizontal="center" vertical="center" wrapText="1" readingOrder="2"/>
    </xf>
    <xf numFmtId="1" fontId="29" fillId="26" borderId="4" applyAlignment="1" pivotButton="0" quotePrefix="0" xfId="0">
      <alignment horizontal="center" vertical="center" wrapText="1" readingOrder="2"/>
    </xf>
    <xf numFmtId="1" fontId="30" fillId="28" borderId="3" applyAlignment="1" pivotButton="0" quotePrefix="0" xfId="0">
      <alignment horizontal="center" vertical="center" wrapText="1" readingOrder="2"/>
    </xf>
    <xf numFmtId="1" fontId="30" fillId="28" borderId="4" applyAlignment="1" pivotButton="0" quotePrefix="0" xfId="0">
      <alignment horizontal="center" vertical="center" wrapText="1" readingOrder="2"/>
    </xf>
    <xf numFmtId="0" fontId="23" fillId="16" borderId="3" applyAlignment="1" pivotButton="0" quotePrefix="0" xfId="0">
      <alignment horizontal="center" vertical="center" wrapText="1" readingOrder="2"/>
    </xf>
    <xf numFmtId="0" fontId="23" fillId="16" borderId="4" applyAlignment="1" pivotButton="0" quotePrefix="0" xfId="0">
      <alignment horizontal="center" vertical="center" wrapText="1" readingOrder="2"/>
    </xf>
    <xf numFmtId="0" fontId="23" fillId="18" borderId="3" applyAlignment="1" pivotButton="0" quotePrefix="0" xfId="0">
      <alignment horizontal="center" vertical="center" wrapText="1" readingOrder="2"/>
    </xf>
    <xf numFmtId="0" fontId="23" fillId="18" borderId="4" applyAlignment="1" pivotButton="0" quotePrefix="0" xfId="0">
      <alignment horizontal="center" vertical="center" wrapText="1" readingOrder="2"/>
    </xf>
    <xf numFmtId="0" fontId="23" fillId="20" borderId="3" applyAlignment="1" pivotButton="0" quotePrefix="0" xfId="0">
      <alignment horizontal="center" vertical="center" wrapText="1" readingOrder="2"/>
    </xf>
    <xf numFmtId="0" fontId="23" fillId="20" borderId="4" applyAlignment="1" pivotButton="0" quotePrefix="0" xfId="0">
      <alignment horizontal="center" vertical="center" wrapText="1" readingOrder="2"/>
    </xf>
    <xf numFmtId="0" fontId="23" fillId="22" borderId="3" applyAlignment="1" pivotButton="0" quotePrefix="0" xfId="0">
      <alignment horizontal="center" vertical="center" wrapText="1" readingOrder="2"/>
    </xf>
    <xf numFmtId="0" fontId="23" fillId="22" borderId="4" applyAlignment="1" pivotButton="0" quotePrefix="0" xfId="0">
      <alignment horizontal="center" vertical="center" wrapText="1" readingOrder="2"/>
    </xf>
    <xf numFmtId="0" fontId="23" fillId="24" borderId="3" applyAlignment="1" pivotButton="0" quotePrefix="0" xfId="0">
      <alignment horizontal="center" vertical="center" wrapText="1" readingOrder="2"/>
    </xf>
    <xf numFmtId="0" fontId="23" fillId="24" borderId="4" applyAlignment="1" pivotButton="0" quotePrefix="0" xfId="0">
      <alignment horizontal="center" vertical="center" wrapText="1" readingOrder="2"/>
    </xf>
    <xf numFmtId="0" fontId="23" fillId="25" borderId="3" applyAlignment="1" pivotButton="0" quotePrefix="0" xfId="0">
      <alignment horizontal="center" vertical="center" wrapText="1" readingOrder="2"/>
    </xf>
    <xf numFmtId="0" fontId="23" fillId="25" borderId="4" applyAlignment="1" pivotButton="0" quotePrefix="0" xfId="0">
      <alignment horizontal="center" vertical="center" wrapText="1" readingOrder="2"/>
    </xf>
    <xf numFmtId="0" fontId="23" fillId="26" borderId="3" applyAlignment="1" pivotButton="0" quotePrefix="0" xfId="0">
      <alignment horizontal="center" vertical="center" wrapText="1" readingOrder="2"/>
    </xf>
    <xf numFmtId="0" fontId="23" fillId="26" borderId="4" applyAlignment="1" pivotButton="0" quotePrefix="0" xfId="0">
      <alignment horizontal="center" vertical="center" wrapText="1" readingOrder="2"/>
    </xf>
    <xf numFmtId="0" fontId="23" fillId="28" borderId="3" applyAlignment="1" pivotButton="0" quotePrefix="0" xfId="0">
      <alignment horizontal="center" vertical="center" wrapText="1" readingOrder="2"/>
    </xf>
    <xf numFmtId="0" fontId="23" fillId="28" borderId="4" applyAlignment="1" pivotButton="0" quotePrefix="0" xfId="0">
      <alignment horizontal="center" vertical="center" wrapText="1" readingOrder="2"/>
    </xf>
    <xf numFmtId="0" fontId="31" fillId="29" borderId="5" applyAlignment="1" pivotButton="0" quotePrefix="0" xfId="0">
      <alignment horizontal="right" vertical="center" wrapText="1" readingOrder="2"/>
    </xf>
    <xf numFmtId="0" fontId="32" fillId="29" borderId="6" applyAlignment="1" pivotButton="0" quotePrefix="0" xfId="0">
      <alignment horizontal="right" vertical="center" wrapText="1" readingOrder="2"/>
    </xf>
    <xf numFmtId="0" fontId="33" fillId="3" borderId="1" applyAlignment="1" pivotButton="0" quotePrefix="0" xfId="0">
      <alignment horizontal="center" vertical="center" wrapText="1" readingOrder="2"/>
    </xf>
    <xf numFmtId="0" fontId="33" fillId="27" borderId="1" applyAlignment="1" pivotButton="0" quotePrefix="0" xfId="0">
      <alignment horizontal="center" vertical="center" wrapText="1" readingOrder="2"/>
    </xf>
    <xf numFmtId="0" fontId="15" fillId="29" borderId="1" applyAlignment="1" pivotButton="0" quotePrefix="0" xfId="0">
      <alignment horizontal="right" vertical="center" wrapText="1" readingOrder="2"/>
    </xf>
    <xf numFmtId="0" fontId="4" fillId="29" borderId="1" applyAlignment="1" pivotButton="0" quotePrefix="0" xfId="0">
      <alignment horizontal="center" vertical="center" wrapText="1" readingOrder="2"/>
    </xf>
    <xf numFmtId="9" fontId="4" fillId="29" borderId="1" applyAlignment="1" pivotButton="0" quotePrefix="0" xfId="0">
      <alignment horizontal="center" vertical="center" wrapText="1" readingOrder="2"/>
    </xf>
    <xf numFmtId="169" fontId="19" fillId="31" borderId="1" applyAlignment="1" pivotButton="0" quotePrefix="0" xfId="0">
      <alignment horizontal="center" vertical="center" wrapText="1" readingOrder="2"/>
    </xf>
    <xf numFmtId="0" fontId="34" fillId="31" borderId="1" applyAlignment="1" pivotButton="0" quotePrefix="0" xfId="0">
      <alignment horizontal="center" vertical="center" wrapText="1" readingOrder="2"/>
    </xf>
    <xf numFmtId="0" fontId="19" fillId="31" borderId="1" applyAlignment="1" pivotButton="0" quotePrefix="0" xfId="0">
      <alignment horizontal="right" vertical="center" wrapText="1" readingOrder="2"/>
    </xf>
    <xf numFmtId="0" fontId="19" fillId="31" borderId="1" applyAlignment="1" pivotButton="0" quotePrefix="0" xfId="0">
      <alignment horizontal="center" vertical="center" wrapText="1" readingOrder="2"/>
    </xf>
    <xf numFmtId="0" fontId="15" fillId="30" borderId="1" applyAlignment="1" pivotButton="0" quotePrefix="0" xfId="0">
      <alignment horizontal="right" vertical="center" wrapText="1" readingOrder="2"/>
    </xf>
    <xf numFmtId="0" fontId="4" fillId="30" borderId="1" applyAlignment="1" pivotButton="0" quotePrefix="0" xfId="0">
      <alignment horizontal="center" vertical="center" wrapText="1" readingOrder="2"/>
    </xf>
    <xf numFmtId="9" fontId="4" fillId="30" borderId="1" applyAlignment="1" pivotButton="0" quotePrefix="0" xfId="0">
      <alignment horizontal="center" vertical="center" wrapText="1" readingOrder="2"/>
    </xf>
    <xf numFmtId="169" fontId="19" fillId="29" borderId="1" applyAlignment="1" pivotButton="0" quotePrefix="0" xfId="0">
      <alignment horizontal="center" vertical="center" wrapText="1" readingOrder="2"/>
    </xf>
    <xf numFmtId="0" fontId="34" fillId="29" borderId="1" applyAlignment="1" pivotButton="0" quotePrefix="0" xfId="0">
      <alignment horizontal="center" vertical="center" wrapText="1" readingOrder="2"/>
    </xf>
    <xf numFmtId="0" fontId="19" fillId="29" borderId="1" applyAlignment="1" pivotButton="0" quotePrefix="0" xfId="0">
      <alignment horizontal="right" vertical="center" wrapText="1" readingOrder="2"/>
    </xf>
    <xf numFmtId="0" fontId="19" fillId="29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9" fontId="3" fillId="2" borderId="1" applyAlignment="1" pivotButton="0" quotePrefix="0" xfId="0">
      <alignment horizontal="center" vertical="center" wrapText="1" readingOrder="2"/>
    </xf>
    <xf numFmtId="0" fontId="35" fillId="29" borderId="7" applyAlignment="1" pivotButton="0" quotePrefix="0" xfId="0">
      <alignment horizontal="right" vertical="center" wrapText="1" readingOrder="2"/>
    </xf>
    <xf numFmtId="0" fontId="36" fillId="29" borderId="8" applyAlignment="1" pivotButton="0" quotePrefix="0" xfId="0">
      <alignment horizontal="right" vertical="center" wrapText="1" readingOrder="2"/>
    </xf>
    <xf numFmtId="0" fontId="33" fillId="23" borderId="1" applyAlignment="1" pivotButton="0" quotePrefix="0" xfId="0">
      <alignment horizontal="center" vertical="center" wrapText="1" readingOrder="2"/>
    </xf>
    <xf numFmtId="0" fontId="33" fillId="4" borderId="1" applyAlignment="1" pivotButton="0" quotePrefix="0" xfId="0">
      <alignment horizontal="center" vertical="center" wrapText="1" readingOrder="2"/>
    </xf>
    <xf numFmtId="0" fontId="37" fillId="32" borderId="1" applyAlignment="1" pivotButton="0" quotePrefix="0" xfId="0">
      <alignment horizontal="center" vertical="center" wrapText="1" readingOrder="2"/>
    </xf>
    <xf numFmtId="0" fontId="19" fillId="32" borderId="1" applyAlignment="1" pivotButton="0" quotePrefix="0" xfId="0">
      <alignment horizontal="right" vertical="center" wrapText="1" readingOrder="2"/>
    </xf>
    <xf numFmtId="0" fontId="19" fillId="32" borderId="1" applyAlignment="1" pivotButton="0" quotePrefix="0" xfId="0">
      <alignment horizontal="center" vertical="center" wrapText="1" readingOrder="2"/>
    </xf>
    <xf numFmtId="169" fontId="19" fillId="32" borderId="1" applyAlignment="1" pivotButton="0" quotePrefix="0" xfId="0">
      <alignment horizontal="center" vertical="center" wrapText="1" readingOrder="2"/>
    </xf>
    <xf numFmtId="167" fontId="19" fillId="33" borderId="1" applyAlignment="1" pivotButton="0" quotePrefix="0" xfId="0">
      <alignment horizontal="center" vertical="center" wrapText="1" readingOrder="2"/>
    </xf>
    <xf numFmtId="0" fontId="38" fillId="33" borderId="1" applyAlignment="1" pivotButton="0" quotePrefix="0" xfId="0">
      <alignment horizontal="center" vertical="center" wrapText="1" readingOrder="2"/>
    </xf>
    <xf numFmtId="0" fontId="19" fillId="33" borderId="1" applyAlignment="1" pivotButton="0" quotePrefix="0" xfId="0">
      <alignment horizontal="right" vertical="center" wrapText="1" readingOrder="2"/>
    </xf>
    <xf numFmtId="0" fontId="19" fillId="33" borderId="1" applyAlignment="1" pivotButton="0" quotePrefix="0" xfId="0">
      <alignment horizontal="center" vertical="center" wrapText="1" readingOrder="2"/>
    </xf>
    <xf numFmtId="0" fontId="37" fillId="29" borderId="1" applyAlignment="1" pivotButton="0" quotePrefix="0" xfId="0">
      <alignment horizontal="center" vertical="center" wrapText="1" readingOrder="2"/>
    </xf>
    <xf numFmtId="167" fontId="19" fillId="29" borderId="1" applyAlignment="1" pivotButton="0" quotePrefix="0" xfId="0">
      <alignment horizontal="center" vertical="center" wrapText="1" readingOrder="2"/>
    </xf>
    <xf numFmtId="0" fontId="38" fillId="29" borderId="1" applyAlignment="1" pivotButton="0" quotePrefix="0" xfId="0">
      <alignment horizontal="center" vertical="center" wrapText="1" readingOrder="2"/>
    </xf>
    <xf numFmtId="0" fontId="39" fillId="29" borderId="9" applyAlignment="1" pivotButton="0" quotePrefix="0" xfId="0">
      <alignment horizontal="right" vertical="center" wrapText="1" readingOrder="2"/>
    </xf>
    <xf numFmtId="0" fontId="33" fillId="13" borderId="1" applyAlignment="1" pivotButton="0" quotePrefix="0" xfId="0">
      <alignment horizontal="center" vertical="center" wrapText="1" readingOrder="2"/>
    </xf>
    <xf numFmtId="0" fontId="8" fillId="6" borderId="1" applyAlignment="1" pivotButton="0" quotePrefix="0" xfId="0">
      <alignment horizontal="center" vertical="center" wrapText="1" readingOrder="2"/>
    </xf>
    <xf numFmtId="0" fontId="9" fillId="7" borderId="1" applyAlignment="1" pivotButton="0" quotePrefix="0" xfId="0">
      <alignment horizontal="center" vertical="center" wrapText="1" readingOrder="2"/>
    </xf>
    <xf numFmtId="0" fontId="10" fillId="8" borderId="1" applyAlignment="1" pivotButton="0" quotePrefix="0" xfId="0">
      <alignment horizontal="center" vertical="center" wrapText="1" readingOrder="2"/>
    </xf>
    <xf numFmtId="0" fontId="11" fillId="9" borderId="1" applyAlignment="1" pivotButton="0" quotePrefix="0" xfId="0">
      <alignment horizontal="center" vertical="center" wrapText="1" readingOrder="2"/>
    </xf>
    <xf numFmtId="0" fontId="12" fillId="10" borderId="1" applyAlignment="1" pivotButton="0" quotePrefix="0" xfId="0">
      <alignment horizontal="center" vertical="center" wrapText="1" readingOrder="2"/>
    </xf>
    <xf numFmtId="0" fontId="13" fillId="11" borderId="1" applyAlignment="1" pivotButton="0" quotePrefix="0" xfId="0">
      <alignment horizontal="center" vertical="center" wrapText="1" readingOrder="2"/>
    </xf>
    <xf numFmtId="0" fontId="14" fillId="12" borderId="1" applyAlignment="1" pivotButton="0" quotePrefix="0" xfId="0">
      <alignment horizontal="center" vertical="center" wrapText="1" readingOrder="2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 readingOrder="2"/>
    </xf>
    <xf numFmtId="0" fontId="16" fillId="2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horizontal="center" vertical="top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15" fillId="0" borderId="1" applyAlignment="1" pivotButton="0" quotePrefix="0" xfId="0">
      <alignment horizontal="right" vertical="top" wrapText="1" readingOrder="2"/>
    </xf>
    <xf numFmtId="0" fontId="4" fillId="14" borderId="1" applyAlignment="1" pivotButton="0" quotePrefix="0" xfId="0">
      <alignment horizontal="center" vertical="top" wrapText="1" readingOrder="2"/>
    </xf>
    <xf numFmtId="0" fontId="4" fillId="0" borderId="1" applyAlignment="1" pivotButton="0" quotePrefix="0" xfId="0">
      <alignment horizontal="center" vertical="top" wrapText="1" readingOrder="2"/>
    </xf>
    <xf numFmtId="9" fontId="4" fillId="14" borderId="1" applyAlignment="1" pivotButton="0" quotePrefix="0" xfId="0">
      <alignment horizontal="center" vertical="top" wrapText="1" readingOrder="2"/>
    </xf>
    <xf numFmtId="9" fontId="4" fillId="0" borderId="1" applyAlignment="1" pivotButton="0" quotePrefix="0" xfId="0">
      <alignment horizontal="center" vertical="top" wrapText="1" readingOrder="2"/>
    </xf>
    <xf numFmtId="167" fontId="6" fillId="15" borderId="1" applyAlignment="1" pivotButton="0" quotePrefix="0" xfId="0">
      <alignment horizontal="center" vertical="top" wrapText="1" readingOrder="2"/>
    </xf>
    <xf numFmtId="168" fontId="4" fillId="0" borderId="1" applyAlignment="1" pivotButton="0" quotePrefix="0" xfId="0">
      <alignment horizontal="center" vertical="top" wrapText="1" readingOrder="2"/>
    </xf>
    <xf numFmtId="167" fontId="4" fillId="0" borderId="1" applyAlignment="1" pivotButton="0" quotePrefix="0" xfId="0">
      <alignment horizontal="center" vertical="top" wrapText="1" readingOrder="2"/>
    </xf>
    <xf numFmtId="0" fontId="16" fillId="0" borderId="0" pivotButton="0" quotePrefix="0" xfId="0"/>
    <xf numFmtId="0" fontId="1" fillId="35" borderId="0" applyAlignment="1" pivotButton="0" quotePrefix="0" xfId="0">
      <alignment horizontal="right" vertical="center" wrapText="1" readingOrder="2"/>
    </xf>
    <xf numFmtId="0" fontId="33" fillId="2" borderId="1" applyAlignment="1" pivotButton="0" quotePrefix="0" xfId="0">
      <alignment horizontal="center" vertical="center" wrapText="1" readingOrder="2"/>
    </xf>
    <xf numFmtId="169" fontId="40" fillId="36" borderId="1" applyAlignment="1" pivotButton="0" quotePrefix="0" xfId="0">
      <alignment horizontal="center" vertical="center" textRotation="90"/>
    </xf>
    <xf numFmtId="0" fontId="42" fillId="0" borderId="0" pivotButton="0" quotePrefix="0" xfId="0"/>
    <xf numFmtId="0" fontId="41" fillId="0" borderId="0" applyAlignment="1" pivotButton="0" quotePrefix="0" xfId="0">
      <alignment horizontal="center" vertical="center" wrapText="1" readingOrder="2"/>
    </xf>
    <xf numFmtId="0" fontId="43" fillId="8" borderId="0" applyAlignment="1" pivotButton="0" quotePrefix="0" xfId="0">
      <alignment horizontal="right" vertical="center" wrapText="1" readingOrder="2"/>
    </xf>
    <xf numFmtId="0" fontId="38" fillId="37" borderId="1" applyAlignment="1" pivotButton="0" quotePrefix="0" xfId="0">
      <alignment horizontal="center" vertical="center" wrapText="1" readingOrder="2"/>
    </xf>
    <xf numFmtId="0" fontId="19" fillId="37" borderId="1" applyAlignment="1" pivotButton="0" quotePrefix="0" xfId="0">
      <alignment horizontal="right" vertical="center" wrapText="1" readingOrder="2"/>
    </xf>
    <xf numFmtId="169" fontId="19" fillId="37" borderId="1" applyAlignment="1" pivotButton="0" quotePrefix="0" xfId="0">
      <alignment horizontal="center" vertical="center" wrapText="1" readingOrder="2"/>
    </xf>
    <xf numFmtId="0" fontId="44" fillId="0" borderId="10" applyAlignment="1" pivotButton="0" quotePrefix="0" xfId="0">
      <alignment horizontal="center" vertical="center"/>
    </xf>
    <xf numFmtId="0" fontId="6" fillId="36" borderId="0" applyAlignment="1" pivotButton="0" quotePrefix="0" xfId="0">
      <alignment horizontal="right" vertical="center" wrapText="1" readingOrder="2"/>
    </xf>
    <xf numFmtId="0" fontId="34" fillId="0" borderId="1" applyAlignment="1" pivotButton="0" quotePrefix="0" xfId="0">
      <alignment horizontal="center" vertical="center" wrapText="1" readingOrder="2"/>
    </xf>
    <xf numFmtId="0" fontId="19" fillId="0" borderId="1" applyAlignment="1" pivotButton="0" quotePrefix="0" xfId="0">
      <alignment horizontal="right" vertical="center" wrapText="1" readingOrder="2"/>
    </xf>
    <xf numFmtId="0" fontId="19" fillId="0" borderId="1" applyAlignment="1" pivotButton="0" quotePrefix="0" xfId="0">
      <alignment horizontal="center" vertical="center" wrapText="1" readingOrder="2"/>
    </xf>
    <xf numFmtId="169" fontId="19" fillId="0" borderId="1" applyAlignment="1" pivotButton="0" quotePrefix="0" xfId="0">
      <alignment horizontal="center" vertical="center" wrapText="1" readingOrder="2"/>
    </xf>
    <xf numFmtId="0" fontId="0" fillId="0" borderId="10" pivotButton="0" quotePrefix="0" xfId="0"/>
    <xf numFmtId="0" fontId="45" fillId="38" borderId="0" applyAlignment="1" pivotButton="0" quotePrefix="0" xfId="0">
      <alignment horizontal="center" vertical="center" wrapText="1" readingOrder="2"/>
    </xf>
    <xf numFmtId="0" fontId="45" fillId="39" borderId="0" applyAlignment="1" pivotButton="0" quotePrefix="0" xfId="0">
      <alignment horizontal="center" vertical="center" wrapText="1" readingOrder="2"/>
    </xf>
    <xf numFmtId="0" fontId="45" fillId="40" borderId="0" applyAlignment="1" pivotButton="0" quotePrefix="0" xfId="0">
      <alignment horizontal="center" vertical="center" wrapText="1" readingOrder="2"/>
    </xf>
    <xf numFmtId="0" fontId="45" fillId="41" borderId="0" applyAlignment="1" pivotButton="0" quotePrefix="0" xfId="0">
      <alignment horizontal="center" vertical="center" wrapText="1" readingOrder="2"/>
    </xf>
    <xf numFmtId="0" fontId="45" fillId="42" borderId="0" applyAlignment="1" pivotButton="0" quotePrefix="0" xfId="0">
      <alignment horizontal="center" vertical="center" wrapText="1" readingOrder="2"/>
    </xf>
    <xf numFmtId="0" fontId="45" fillId="43" borderId="0" applyAlignment="1" pivotButton="0" quotePrefix="0" xfId="0">
      <alignment horizontal="center" vertical="center" wrapText="1" readingOrder="2"/>
    </xf>
    <xf numFmtId="0" fontId="45" fillId="44" borderId="0" applyAlignment="1" pivotButton="0" quotePrefix="0" xfId="0">
      <alignment horizontal="center" vertical="center" wrapText="1" readingOrder="2"/>
    </xf>
    <xf numFmtId="0" fontId="46" fillId="0" borderId="0" pivotButton="0" quotePrefix="0" xfId="0"/>
    <xf numFmtId="0" fontId="1" fillId="45" borderId="0" applyAlignment="1" pivotButton="0" quotePrefix="0" xfId="0">
      <alignment horizontal="right" vertical="center" wrapText="1" readingOrder="2"/>
    </xf>
    <xf numFmtId="0" fontId="47" fillId="35" borderId="0" applyAlignment="1" pivotButton="0" quotePrefix="0" xfId="0">
      <alignment horizontal="center" vertical="center" wrapText="1" readingOrder="2"/>
    </xf>
    <xf numFmtId="0" fontId="47" fillId="45" borderId="0" applyAlignment="1" pivotButton="0" quotePrefix="0" xfId="0">
      <alignment horizontal="center" vertical="center" wrapText="1" readingOrder="2"/>
    </xf>
    <xf numFmtId="0" fontId="47" fillId="47" borderId="0" applyAlignment="1" pivotButton="0" quotePrefix="0" xfId="0">
      <alignment horizontal="center" vertical="center" wrapText="1" readingOrder="2"/>
    </xf>
    <xf numFmtId="0" fontId="47" fillId="48" borderId="0" applyAlignment="1" pivotButton="0" quotePrefix="0" xfId="0">
      <alignment horizontal="center" vertical="center" wrapText="1" readingOrder="2"/>
    </xf>
    <xf numFmtId="0" fontId="48" fillId="7" borderId="0" applyAlignment="1" pivotButton="0" quotePrefix="0" xfId="0">
      <alignment horizontal="center" vertical="center" wrapText="1" readingOrder="2"/>
    </xf>
    <xf numFmtId="0" fontId="49" fillId="46" borderId="0" applyAlignment="1" pivotButton="0" quotePrefix="0" xfId="0">
      <alignment horizontal="center" vertical="center" wrapText="1" readingOrder="2"/>
    </xf>
    <xf numFmtId="0" fontId="50" fillId="9" borderId="0" applyAlignment="1" pivotButton="0" quotePrefix="0" xfId="0">
      <alignment horizontal="center" vertical="center" wrapText="1" readingOrder="2"/>
    </xf>
    <xf numFmtId="0" fontId="8" fillId="6" borderId="0" applyAlignment="1" pivotButton="0" quotePrefix="0" xfId="0">
      <alignment horizontal="center" vertical="center" wrapText="1" readingOrder="2"/>
    </xf>
    <xf numFmtId="0" fontId="3" fillId="35" borderId="1" applyAlignment="1" pivotButton="0" quotePrefix="0" xfId="0">
      <alignment horizontal="center" vertical="center" wrapText="1" readingOrder="2"/>
    </xf>
    <xf numFmtId="0" fontId="3" fillId="45" borderId="1" applyAlignment="1" pivotButton="0" quotePrefix="0" xfId="0">
      <alignment horizontal="center" vertical="center" wrapText="1" readingOrder="2"/>
    </xf>
    <xf numFmtId="0" fontId="3" fillId="47" borderId="1" applyAlignment="1" pivotButton="0" quotePrefix="0" xfId="0">
      <alignment horizontal="center" vertical="center" wrapText="1" readingOrder="2"/>
    </xf>
    <xf numFmtId="0" fontId="3" fillId="48" borderId="1" applyAlignment="1" pivotButton="0" quotePrefix="0" xfId="0">
      <alignment horizontal="center" vertical="center" wrapText="1" readingOrder="2"/>
    </xf>
    <xf numFmtId="0" fontId="48" fillId="0" borderId="0" applyAlignment="1" pivotButton="0" quotePrefix="0" xfId="0">
      <alignment horizontal="center" vertical="center" wrapText="1" readingOrder="2"/>
    </xf>
    <xf numFmtId="0" fontId="19" fillId="0" borderId="0" applyAlignment="1" pivotButton="0" quotePrefix="0" xfId="0">
      <alignment horizontal="right" vertical="center" wrapText="1" readingOrder="2"/>
    </xf>
    <xf numFmtId="167" fontId="19" fillId="0" borderId="0" applyAlignment="1" pivotButton="0" quotePrefix="0" xfId="0">
      <alignment horizontal="center" vertical="center" wrapText="1" readingOrder="2"/>
    </xf>
    <xf numFmtId="0" fontId="19" fillId="0" borderId="0" applyAlignment="1" pivotButton="0" quotePrefix="0" xfId="0">
      <alignment horizontal="center" vertical="center" wrapText="1" readingOrder="2"/>
    </xf>
    <xf numFmtId="0" fontId="49" fillId="0" borderId="0" applyAlignment="1" pivotButton="0" quotePrefix="0" xfId="0">
      <alignment horizontal="center" vertical="center" wrapText="1" readingOrder="2"/>
    </xf>
    <xf numFmtId="0" fontId="50" fillId="0" borderId="0" applyAlignment="1" pivotButton="0" quotePrefix="0" xfId="0">
      <alignment horizontal="center" vertical="center" wrapText="1" readingOrder="2"/>
    </xf>
    <xf numFmtId="0" fontId="8" fillId="0" borderId="0" applyAlignment="1" pivotButton="0" quotePrefix="0" xfId="0">
      <alignment horizontal="center" vertical="center" wrapText="1" readingOrder="2"/>
    </xf>
    <xf numFmtId="0" fontId="1" fillId="49" borderId="0" applyAlignment="1" pivotButton="0" quotePrefix="0" xfId="0">
      <alignment horizontal="right" vertical="center" wrapText="1" readingOrder="2"/>
    </xf>
    <xf numFmtId="0" fontId="51" fillId="50" borderId="11" applyAlignment="1" pivotButton="0" quotePrefix="0" xfId="0">
      <alignment horizontal="center" vertical="center" wrapText="1" readingOrder="2"/>
    </xf>
    <xf numFmtId="0" fontId="51" fillId="51" borderId="11" applyAlignment="1" pivotButton="0" quotePrefix="0" xfId="0">
      <alignment horizontal="center" vertical="center" wrapText="1" readingOrder="2"/>
    </xf>
    <xf numFmtId="0" fontId="51" fillId="52" borderId="11" applyAlignment="1" pivotButton="0" quotePrefix="0" xfId="0">
      <alignment horizontal="center" vertical="center" wrapText="1" readingOrder="2"/>
    </xf>
    <xf numFmtId="0" fontId="51" fillId="53" borderId="11" applyAlignment="1" pivotButton="0" quotePrefix="0" xfId="0">
      <alignment horizontal="center" vertical="center" wrapText="1" readingOrder="2"/>
    </xf>
    <xf numFmtId="0" fontId="51" fillId="54" borderId="11" applyAlignment="1" pivotButton="0" quotePrefix="0" xfId="0">
      <alignment horizontal="center" vertical="center" wrapText="1" readingOrder="2"/>
    </xf>
    <xf numFmtId="0" fontId="51" fillId="55" borderId="11" applyAlignment="1" pivotButton="0" quotePrefix="0" xfId="0">
      <alignment horizontal="center" vertical="center" wrapText="1" readingOrder="2"/>
    </xf>
    <xf numFmtId="0" fontId="9" fillId="7" borderId="0" applyAlignment="1" pivotButton="0" quotePrefix="0" xfId="0">
      <alignment horizontal="center" vertical="center" wrapText="1" readingOrder="2"/>
    </xf>
    <xf numFmtId="0" fontId="10" fillId="8" borderId="0" applyAlignment="1" pivotButton="0" quotePrefix="0" xfId="0">
      <alignment horizontal="center" vertical="center" wrapText="1" readingOrder="2"/>
    </xf>
    <xf numFmtId="0" fontId="12" fillId="10" borderId="0" applyAlignment="1" pivotButton="0" quotePrefix="0" xfId="0">
      <alignment horizontal="center" vertical="center" wrapText="1" readingOrder="2"/>
    </xf>
    <xf numFmtId="0" fontId="13" fillId="11" borderId="0" applyAlignment="1" pivotButton="0" quotePrefix="0" xfId="0">
      <alignment horizontal="center" vertical="center" wrapText="1" readingOrder="2"/>
    </xf>
    <xf numFmtId="0" fontId="14" fillId="12" borderId="0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165" fontId="4" fillId="0" borderId="1" applyAlignment="1" pivotButton="0" quotePrefix="0" xfId="0">
      <alignment horizontal="center" vertical="center" wrapText="1" readingOrder="2"/>
    </xf>
    <xf numFmtId="165" fontId="6" fillId="5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1" fillId="34" borderId="0" applyAlignment="1" pivotButton="0" quotePrefix="0" xfId="0">
      <alignment horizontal="right" vertical="center" wrapText="1" readingOrder="2"/>
    </xf>
    <xf numFmtId="0" fontId="3" fillId="23" borderId="1" applyAlignment="1" pivotButton="0" quotePrefix="0" xfId="0">
      <alignment horizontal="center" vertical="center" wrapText="1" readingOrder="2"/>
    </xf>
    <xf numFmtId="0" fontId="35" fillId="0" borderId="1" applyAlignment="1" pivotButton="0" quotePrefix="0" xfId="0">
      <alignment horizontal="center" vertical="top" wrapText="1" readingOrder="2"/>
    </xf>
    <xf numFmtId="0" fontId="6" fillId="14" borderId="1" applyAlignment="1" pivotButton="0" quotePrefix="0" xfId="0">
      <alignment horizontal="center" vertical="top" wrapText="1" readingOrder="2"/>
    </xf>
    <xf numFmtId="0" fontId="1" fillId="56" borderId="0" applyAlignment="1" pivotButton="0" quotePrefix="0" xfId="0">
      <alignment horizontal="right" vertical="center" wrapText="1" readingOrder="2"/>
    </xf>
    <xf numFmtId="0" fontId="3" fillId="57" borderId="1" applyAlignment="1" pivotButton="0" quotePrefix="0" xfId="0">
      <alignment horizontal="center" vertical="center" wrapText="1" readingOrder="2"/>
    </xf>
    <xf numFmtId="49" fontId="4" fillId="0" borderId="1" applyAlignment="1" pivotButton="0" quotePrefix="0" xfId="0">
      <alignment horizontal="right" vertical="top" wrapText="1" readingOrder="2"/>
    </xf>
    <xf numFmtId="170" fontId="4" fillId="14" borderId="1" applyAlignment="1" pivotButton="0" quotePrefix="0" xfId="0">
      <alignment horizontal="center" vertical="top" wrapText="1" readingOrder="2"/>
    </xf>
    <xf numFmtId="170" fontId="52" fillId="0" borderId="1" applyAlignment="1" pivotButton="0" quotePrefix="0" xfId="0">
      <alignment horizontal="center" vertical="top" wrapText="1" readingOrder="2"/>
    </xf>
    <xf numFmtId="0" fontId="1" fillId="58" borderId="0" applyAlignment="1" pivotButton="0" quotePrefix="0" xfId="0">
      <alignment horizontal="right" vertical="center" wrapText="1" readingOrder="2"/>
    </xf>
    <xf numFmtId="0" fontId="51" fillId="3" borderId="0" applyAlignment="1" pivotButton="0" quotePrefix="0" xfId="0">
      <alignment horizontal="right" vertical="center" wrapText="1" readingOrder="2"/>
    </xf>
    <xf numFmtId="0" fontId="6" fillId="59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dxfs count="46"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374151"/>
      </font>
      <fill>
        <patternFill patternType="solid">
          <fgColor rgb="00E5E7EB"/>
          <bgColor rgb="00E5E7EB"/>
        </patternFill>
      </fill>
    </dxf>
    <dxf>
      <font>
        <b val="1"/>
        <color rgb="001D4ED8"/>
      </font>
      <fill>
        <patternFill patternType="solid">
          <fgColor rgb="00DBEAFE"/>
          <bgColor rgb="00DBEAFE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b val="1"/>
        <color rgb="006D28D9"/>
      </font>
      <fill>
        <patternFill patternType="solid">
          <fgColor rgb="00EDE9FE"/>
          <bgColor rgb="00EDE9FE"/>
        </patternFill>
      </fill>
    </dxf>
    <dxf>
      <font>
        <b val="1"/>
        <color rgb="00B91C1C"/>
      </font>
      <fill>
        <patternFill patternType="solid">
          <fgColor rgb="00FEE2E2"/>
          <bgColor rgb="00FEE2E2"/>
        </patternFill>
      </fill>
    </dxf>
    <dxf>
      <font>
        <b val="1"/>
        <color rgb="0015803D"/>
      </font>
      <fill>
        <patternFill patternType="solid">
          <fgColor rgb="00DCFCE7"/>
          <bgColor rgb="00DCFCE7"/>
        </patternFill>
      </fill>
    </dxf>
    <dxf>
      <font>
        <b val="1"/>
        <color rgb="009CA3AF"/>
      </font>
      <fill>
        <patternFill patternType="solid">
          <fgColor rgb="00F3F4F6"/>
          <bgColor rgb="00F3F4F6"/>
        </patternFill>
      </fill>
    </dxf>
    <dxf>
      <font>
        <b val="1"/>
        <color rgb="00B91C1C"/>
      </font>
    </dxf>
    <dxf>
      <font>
        <b val="1"/>
        <color rgb="00C2410C"/>
      </font>
    </dxf>
    <dxf>
      <font>
        <b val="1"/>
        <color rgb="00B91C1C"/>
      </font>
      <fill>
        <patternFill patternType="solid">
          <fgColor rgb="00FEF3C7"/>
          <bgColor rgb="00FEF3C7"/>
        </patternFill>
      </fill>
    </dxf>
    <dxf>
      <fill>
        <patternFill patternType="solid">
          <fgColor rgb="00F5F7FA"/>
          <bgColor rgb="00F5F7FA"/>
        </patternFill>
      </fill>
    </dxf>
    <dxf>
      <font>
        <b val="1"/>
        <color rgb="000369A1"/>
      </font>
      <fill>
        <patternFill patternType="solid">
          <fgColor rgb="00E0F2FE"/>
          <bgColor rgb="00E0F2FE"/>
        </patternFill>
      </fill>
    </dxf>
    <dxf>
      <font>
        <b val="1"/>
        <color rgb="00115E59"/>
      </font>
      <fill>
        <patternFill patternType="solid">
          <fgColor rgb="00CCFBF1"/>
          <bgColor rgb="00CCFBF1"/>
        </patternFill>
      </fill>
    </dxf>
    <dxf>
      <font>
        <b val="1"/>
        <color rgb="001E40AF"/>
      </font>
      <fill>
        <patternFill patternType="solid">
          <fgColor rgb="00DBEAFE"/>
          <bgColor rgb="00DBEAFE"/>
        </patternFill>
      </fill>
    </dxf>
    <dxf>
      <font>
        <b val="1"/>
        <color rgb="009D174D"/>
      </font>
      <fill>
        <patternFill patternType="solid">
          <fgColor rgb="00FCE7F3"/>
          <bgColor rgb="00FCE7F3"/>
        </patternFill>
      </fill>
    </dxf>
    <dxf>
      <font>
        <b val="1"/>
        <color rgb="005B21B6"/>
      </font>
      <fill>
        <patternFill patternType="solid">
          <fgColor rgb="00EDE9FE"/>
          <bgColor rgb="00EDE9FE"/>
        </patternFill>
      </fill>
    </dxf>
    <dxf>
      <font>
        <color rgb="004B5563"/>
      </font>
      <fill>
        <patternFill patternType="solid">
          <fgColor rgb="00F3F4F6"/>
          <bgColor rgb="00F3F4F6"/>
        </patternFill>
      </fill>
    </dxf>
    <dxf>
      <font>
        <strike val="1"/>
        <color rgb="009CA3AF"/>
      </font>
    </dxf>
    <dxf>
      <font>
        <b val="1"/>
        <color rgb="00DC2626"/>
      </font>
    </dxf>
    <dxf>
      <fill>
        <patternFill patternType="solid">
          <fgColor rgb="0022C55E"/>
          <bgColor rgb="0022C55E"/>
        </patternFill>
      </fill>
    </dxf>
    <dxf>
      <fill>
        <patternFill patternType="solid">
          <fgColor rgb="00EF4444"/>
          <bgColor rgb="00EF4444"/>
        </patternFill>
      </fill>
    </dxf>
    <dxf>
      <fill>
        <patternFill patternType="solid">
          <fgColor rgb="003B82F6"/>
          <bgColor rgb="003B82F6"/>
        </patternFill>
      </fill>
    </dxf>
    <dxf>
      <fill>
        <patternFill patternType="solid">
          <fgColor rgb="00F59E0B"/>
          <bgColor rgb="00F59E0B"/>
        </patternFill>
      </fill>
    </dxf>
    <dxf>
      <fill>
        <patternFill patternType="solid">
          <fgColor rgb="008B5CF6"/>
          <bgColor rgb="008B5CF6"/>
        </patternFill>
      </fill>
    </dxf>
    <dxf>
      <fill>
        <patternFill patternType="solid">
          <fgColor rgb="00D1D5DB"/>
          <bgColor rgb="00D1D5DB"/>
        </patternFill>
      </fill>
    </dxf>
    <dxf>
      <fill>
        <patternFill patternType="solid">
          <fgColor rgb="005B8DB8"/>
          <bgColor rgb="005B8DB8"/>
        </patternFill>
      </fill>
    </dxf>
    <dxf>
      <fill>
        <patternFill patternType="solid">
          <fgColor rgb="00FEF9C3"/>
          <bgColor rgb="00FEF9C3"/>
        </patternFill>
      </fill>
    </dxf>
    <dxf>
      <font>
        <b val="1"/>
        <color rgb="00991B1B"/>
      </font>
      <fill>
        <patternFill patternType="solid">
          <fgColor rgb="00FDE047"/>
          <bgColor rgb="00FDE047"/>
        </patternFill>
      </fill>
    </dxf>
    <dxf>
      <font>
        <b val="1"/>
        <color rgb="007C2D12"/>
      </font>
      <fill>
        <patternFill patternType="solid">
          <fgColor rgb="00FDBA74"/>
          <bgColor rgb="00FDBA74"/>
        </patternFill>
      </fill>
    </dxf>
    <dxf>
      <fill>
        <patternFill patternType="solid">
          <fgColor rgb="00DBEAFE"/>
          <bgColor rgb="00DBEAFE"/>
        </patternFill>
      </fill>
    </dxf>
    <dxf>
      <border>
        <left style="thin">
          <color rgb="00D9DEE5"/>
        </left>
        <right style="thin">
          <color rgb="00D9DEE5"/>
        </right>
        <top style="thin">
          <color rgb="00D9DEE5"/>
        </top>
        <bottom style="thin">
          <color rgb="00D9DEE5"/>
        </bottom>
      </border>
    </dxf>
    <dxf>
      <fill>
        <patternFill patternType="solid">
          <fgColor rgb="00FCE7F3"/>
          <bgColor rgb="00FCE7F3"/>
        </patternFill>
      </fill>
    </dxf>
    <dxf>
      <fill>
        <patternFill patternType="solid">
          <fgColor rgb="00EDE9FE"/>
          <bgColor rgb="00EDE9FE"/>
        </patternFill>
      </fill>
    </dxf>
    <dxf>
      <fill>
        <patternFill patternType="solid">
          <fgColor rgb="00E5E7EB"/>
          <bgColor rgb="00E5E7EB"/>
        </patternFill>
      </fill>
    </dxf>
    <dxf>
      <fill>
        <patternFill patternType="solid">
          <fgColor rgb="00E5E7EB"/>
          <bgColor rgb="00E5E7EB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ill>
        <patternFill patternType="solid">
          <fgColor rgb="00DBEAFE"/>
          <bgColor rgb="00DBEAFE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ill>
        <patternFill patternType="solid">
          <fgColor rgb="00FEF3C7"/>
          <bgColor rgb="00FEF3C7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ill>
        <patternFill patternType="solid">
          <fgColor rgb="00FEE2E2"/>
          <bgColor rgb="00FEE2E2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ill>
        <patternFill patternType="solid">
          <fgColor rgb="00DCFCE7"/>
          <bgColor rgb="00DCFCE7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ill>
        <patternFill patternType="solid">
          <fgColor rgb="00F3F4F6"/>
          <bgColor rgb="00F3F4F6"/>
        </patternFill>
      </fill>
      <border>
        <left style="thick">
          <color rgb="00FFFFFF"/>
        </left>
        <right style="thick">
          <color rgb="00FFFFFF"/>
        </right>
        <top style="thick">
          <color rgb="00FFFFFF"/>
        </top>
        <bottom style="thick">
          <color rgb="00FFFFFF"/>
        </bottom>
      </border>
    </dxf>
    <dxf>
      <font>
        <b val="1"/>
        <color rgb="00E76F51"/>
      </font>
    </dxf>
    <dxf>
      <font>
        <color rgb="006B7280"/>
      </font>
      <fill>
        <patternFill patternType="solid">
          <fgColor rgb="00E5E7EB"/>
          <bgColor rgb="00E5E7EB"/>
        </patternFill>
      </fill>
    </dxf>
    <dxf>
      <font>
        <b val="1"/>
        <color rgb="009A3412"/>
      </font>
      <fill>
        <patternFill patternType="solid">
          <fgColor rgb="00FFEDD5"/>
          <bgColor rgb="00FFEDD5"/>
        </patternFill>
      </fill>
    </dxf>
    <dxf>
      <font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A9D8F"/>
            </a:solidFill>
            <a:ln xmlns:a="http://schemas.openxmlformats.org/drawingml/2006/main">
              <a:solidFill>
                <a:srgbClr val="2A9D8F"/>
              </a:solidFill>
              <a:prstDash val="solid"/>
            </a:ln>
          </spPr>
          <cat>
            <numRef>
              <f>'לוח בקרה'!$B$13:$B$26</f>
            </numRef>
          </cat>
          <val>
            <numRef>
              <f>'לוח בקרה'!$H$13:$H$26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>
                <a:latin typeface="Rubik"/>
                <a:cs typeface="Rubik"/>
              </a:defRPr>
            </a:pPr>
            <a:r>
              <a:t/>
            </a:r>
            <a:endParaRPr sz="700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>
                <a:latin typeface="Rubik"/>
                <a:cs typeface="Rubik"/>
              </a:defRPr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CA3A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D1D5D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'לוח בקרה'!$K$41:$K$47</f>
            </numRef>
          </cat>
          <val>
            <numRef>
              <f>'לוח בקרה'!$L$41:$L$47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594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39</row>
      <rowOff>0</rowOff>
    </from>
    <ext cx="396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sks" displayName="tblTasks" ref="A4:AA95" headerRowCount="1">
  <autoFilter ref="A4:AA95"/>
  <tableColumns count="27">
    <tableColumn id="1" name="ID"/>
    <tableColumn id="2" name="שלב"/>
    <tableColumn id="3" name="משימה"/>
    <tableColumn id="4" name="אחראי"/>
    <tableColumn id="5" name="עדיפות"/>
    <tableColumn id="6" name="סטטוס"/>
    <tableColumn id="7" name="⚡ מצב מחושב"/>
    <tableColumn id="8" name="% ידני"/>
    <tableColumn id="9" name="📈 התקדמות"/>
    <tableColumn id="10" name="▶ התחלה (פעיל)"/>
    <tableColumn id="11" name="🎯 יעד (פעיל)"/>
    <tableColumn id="12" name="⏳ ימים ליעד"/>
    <tableColumn id="13" name="תלויות"/>
    <tableColumn id="14" name="Mode"/>
    <tableColumn id="15" name="התחלה (מוקדם)"/>
    <tableColumn id="16" name="יעד (מוקדם)"/>
    <tableColumn id="17" name="התחלה (מאוחר)"/>
    <tableColumn id="18" name="יעד (מאוחר)"/>
    <tableColumn id="19" name="תיאור"/>
    <tableColumn id="20" name="מידע/מסמכים נדרשים"/>
    <tableColumn id="21" name="הערות / הנחות"/>
    <tableColumn id="22" name="_up"/>
    <tableColumn id="23" name="_kan"/>
    <tableColumn id="24" name="_ariel"/>
    <tableColumn id="25" name="_rinat"/>
    <tableColumn id="26" name="_tamar"/>
    <tableColumn id="27" name="_other"/>
  </tableColumns>
  <tableStyleInfo name="TableStyleLight1" showRowStripes="0"/>
</table>
</file>

<file path=xl/tables/table2.xml><?xml version="1.0" encoding="utf-8"?>
<table xmlns="http://schemas.openxmlformats.org/spreadsheetml/2006/main" id="2" name="tblMilestones" displayName="tblMilestones" ref="A4:J16" headerRowCount="1">
  <autoFilter ref="A4:J16"/>
  <tableColumns count="10">
    <tableColumn id="1" name="#"/>
    <tableColumn id="2" name="אבן דרך"/>
    <tableColumn id="3" name="מוקדם (מפתח 1.12)"/>
    <tableColumn id="4" name="מאוחר (מפתח 5.1)"/>
    <tableColumn id="5" name="📍 תאריך פעיל"/>
    <tableColumn id="6" name="⏳ ימים שנותרו"/>
    <tableColumn id="7" name="מצב"/>
    <tableColumn id="8" name="תנאי / משימות"/>
    <tableColumn id="9" name="הערות"/>
    <tableColumn id="10" name="_key"/>
  </tableColumns>
  <tableStyleInfo name="TableStyleLight1" showRowStripes="0"/>
</table>
</file>

<file path=xl/tables/table3.xml><?xml version="1.0" encoding="utf-8"?>
<table xmlns="http://schemas.openxmlformats.org/spreadsheetml/2006/main" id="3" name="tblDecisions" displayName="tblDecisions" ref="A4:K16" headerRowCount="1">
  <autoFilter ref="A4:K16"/>
  <tableColumns count="11">
    <tableColumn id="1" name="#"/>
    <tableColumn id="2" name="🧭 החלטה"/>
    <tableColumn id="3" name="למה עכשיו"/>
    <tableColumn id="4" name="תלות / מועד"/>
    <tableColumn id="5" name="🔗 משימה ראשית"/>
    <tableColumn id="6" name="משימות קשורות"/>
    <tableColumn id="7" name="👤 אחראי"/>
    <tableColumn id="8" name="🎯 יעד (פעיל)"/>
    <tableColumn id="9" name="⚡ מצב"/>
    <tableColumn id="10" name="הערות"/>
    <tableColumn id="11" name="_key"/>
  </tableColumns>
  <tableStyleInfo name="TableStyleLight1" showRowStripes="0"/>
</table>
</file>

<file path=xl/tables/table4.xml><?xml version="1.0" encoding="utf-8"?>
<table xmlns="http://schemas.openxmlformats.org/spreadsheetml/2006/main" id="4" name="tblContacts" displayName="tblContacts" ref="A4:M34" headerRowCount="1">
  <autoFilter ref="A4:M34"/>
  <tableColumns count="13">
    <tableColumn id="1" name="תחום"/>
    <tableColumn id="2" name="שם"/>
    <tableColumn id="3" name="חברה"/>
    <tableColumn id="4" name="טלפון"/>
    <tableColumn id="5" name="אימייל"/>
    <tableColumn id="6" name="הצעה 1 (₪)"/>
    <tableColumn id="7" name="הצעה 2 (₪)"/>
    <tableColumn id="8" name="הצעה 3 (₪)"/>
    <tableColumn id="9" name="סטטוס"/>
    <tableColumn id="10" name="משימה"/>
    <tableColumn id="11" name="הערות"/>
    <tableColumn id="12" name="מס' הצעות"/>
    <tableColumn id="13" name="💰 הצעה נמוכה (₪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B1:U4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2" customWidth="1" min="18" max="18"/>
    <col hidden="1" width="9" customWidth="1" min="19" max="19"/>
    <col hidden="1" width="9" customWidth="1" min="20" max="20"/>
    <col hidden="1" width="9" customWidth="1" min="21" max="21"/>
    <col hidden="1" width="9" customWidth="1" min="22" max="22"/>
    <col hidden="1" width="9" customWidth="1" min="23" max="23"/>
  </cols>
  <sheetData>
    <row r="1" ht="38" customHeight="1">
      <c r="B1" s="1" t="inlineStr">
        <is>
          <t>🏡 בית אלון  |  מרכז ניהול השיפוץ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B2" s="2">
        <f>"📆 היום: "&amp;TEXT(Today_,"dd/mm/yyyy")&amp;"   ·   🎛️ תרחיש פעיל: "&amp;IF(Scenario="B","B — מפתח מאוחר (ינואר)","A — מפתח מוקדם (תחילת דצמבר)")&amp;"   ·   🔑 מפתח: "&amp;TEXT(KeyActive,"dd/mm/yyyy")&amp;IF(KeyActual&lt;&gt;"","  (בפועל)","  (תכנון)")</f>
        <v/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8" customHeight="1"/>
    <row r="4" ht="30" customHeight="1">
      <c r="B4" s="4" t="inlineStr">
        <is>
          <t>🎛️ תרחיש פעיל ▼</t>
        </is>
      </c>
      <c r="C4" s="4" t="n"/>
      <c r="D4" s="5" t="inlineStr">
        <is>
          <t>A</t>
        </is>
      </c>
      <c r="E4" s="6">
        <f>IF(Scenario="B","B: מפתח 5.1.2027 · מגורי ביניים ~חודש + אחסון","A: מפתח 1.12.2026 · נכנסים מיד וגרים בבית בזמן השיפוץ")</f>
        <v/>
      </c>
      <c r="F4" s="6" t="n"/>
      <c r="G4" s="6" t="n"/>
      <c r="H4" s="6" t="n"/>
      <c r="I4" s="4" t="inlineStr">
        <is>
          <t>🔑 מפתח בפועל (אם נקבע)</t>
        </is>
      </c>
      <c r="J4" s="4" t="n"/>
      <c r="K4" s="7" t="n"/>
      <c r="L4" s="4" t="inlineStr">
        <is>
          <t>📅 "היום" לבדיקה (ריק = היום)</t>
        </is>
      </c>
      <c r="M4" s="4" t="n"/>
      <c r="N4" s="7" t="n"/>
      <c r="O4" s="8" t="inlineStr">
        <is>
          <t>✏️ תאים צהובים = קלט. כל השאר מתעדכן לבד.</t>
        </is>
      </c>
      <c r="P4" s="8" t="n"/>
      <c r="Q4" s="8" t="n"/>
      <c r="S4">
        <f>IF(N4&lt;&gt;"",N4,TODAY())</f>
        <v/>
      </c>
      <c r="T4">
        <f>IF(KeyActual&lt;&gt;"",KeyActual,IF(Scenario="B",KeyB,KeyA))</f>
        <v/>
      </c>
      <c r="U4">
        <f>'אבני דרך'!E9</f>
        <v/>
      </c>
    </row>
    <row r="5" ht="10" customHeight="1"/>
    <row r="6" ht="24" customHeight="1">
      <c r="B6" s="9" t="inlineStr">
        <is>
          <t>📋 סה"כ משימות</t>
        </is>
      </c>
      <c r="C6" s="10" t="n"/>
      <c r="D6" s="11" t="inlineStr">
        <is>
          <t>✅ הושלמו</t>
        </is>
      </c>
      <c r="E6" s="12" t="n"/>
      <c r="F6" s="13" t="inlineStr">
        <is>
          <t>🔄 בתהליך</t>
        </is>
      </c>
      <c r="G6" s="14" t="n"/>
      <c r="H6" s="15" t="inlineStr">
        <is>
          <t>⏰ באיחור</t>
        </is>
      </c>
      <c r="I6" s="16" t="n"/>
      <c r="J6" s="17" t="inlineStr">
        <is>
          <t>⛔ תקוע / ממתין</t>
        </is>
      </c>
      <c r="K6" s="18" t="n"/>
      <c r="L6" s="19" t="inlineStr">
        <is>
          <t>📈 % השלמה</t>
        </is>
      </c>
      <c r="M6" s="20" t="n"/>
      <c r="N6" s="21" t="inlineStr">
        <is>
          <t>🔑 ימים למפתח</t>
        </is>
      </c>
      <c r="O6" s="22" t="n"/>
      <c r="P6" s="23" t="inlineStr">
        <is>
          <t>📦 ימים לפינוי</t>
        </is>
      </c>
      <c r="Q6" s="24" t="n"/>
    </row>
    <row r="7" ht="24" customHeight="1">
      <c r="B7" s="25">
        <f>COUNTIF(T_ID,"?*")</f>
        <v/>
      </c>
      <c r="C7" s="26" t="n"/>
      <c r="D7" s="27">
        <f>COUNTIF(T_Status,"הושלם")</f>
        <v/>
      </c>
      <c r="E7" s="28" t="n"/>
      <c r="F7" s="29">
        <f>COUNTIF(T_Eff,"בתהליך")</f>
        <v/>
      </c>
      <c r="G7" s="30" t="n"/>
      <c r="H7" s="31">
        <f>COUNTIF(T_Eff,"באיחור")</f>
        <v/>
      </c>
      <c r="I7" s="32" t="n"/>
      <c r="J7" s="33">
        <f>COUNTIF(T_Eff,"תקוע")+COUNTIF(T_Eff,"ממתין")</f>
        <v/>
      </c>
      <c r="K7" s="34" t="n"/>
      <c r="L7" s="35">
        <f>IFERROR(SUMIFS(T_Prog,T_Status,"&lt;&gt;בוטל")/(COUNTIF(T_ID,"?*")-COUNTIF(T_Status,"בוטל")),0)</f>
        <v/>
      </c>
      <c r="M7" s="36" t="n"/>
      <c r="N7" s="37">
        <f>KeyActive-Today_</f>
        <v/>
      </c>
      <c r="O7" s="38" t="n"/>
      <c r="P7" s="39">
        <f>IF(EvictDate="","",EvictDate-Today_)</f>
        <v/>
      </c>
      <c r="Q7" s="40" t="n"/>
    </row>
    <row r="8" ht="24" customHeight="1">
      <c r="B8" s="25" t="n"/>
      <c r="C8" s="26" t="n"/>
      <c r="D8" s="27" t="n"/>
      <c r="E8" s="28" t="n"/>
      <c r="F8" s="29" t="n"/>
      <c r="G8" s="30" t="n"/>
      <c r="H8" s="31" t="n"/>
      <c r="I8" s="32" t="n"/>
      <c r="J8" s="33" t="n"/>
      <c r="K8" s="34" t="n"/>
      <c r="L8" s="35" t="n"/>
      <c r="M8" s="36" t="n"/>
      <c r="N8" s="37" t="n"/>
      <c r="O8" s="38" t="n"/>
      <c r="P8" s="39" t="n"/>
      <c r="Q8" s="40" t="n"/>
    </row>
    <row r="9" ht="20" customHeight="1">
      <c r="B9" s="41">
        <f>"פתוחות: "&amp;(COUNTIF(T_ID,"?*")-COUNTIF(T_Status,"הושלם")-COUNTIF(T_Status,"בוטל"))</f>
        <v/>
      </c>
      <c r="C9" s="42" t="n"/>
      <c r="D9" s="43">
        <f>TEXT(IFERROR(COUNTIF(T_Status,"הושלם")/COUNTIF(T_ID,"?*"),0),"0%")&amp;" מהמשימות"</f>
        <v/>
      </c>
      <c r="E9" s="44" t="n"/>
      <c r="F9" s="45">
        <f>"בעבודה כרגע"</f>
        <v/>
      </c>
      <c r="G9" s="46" t="n"/>
      <c r="H9" s="47">
        <f>IF(COUNTIF(T_Eff,"באיחור")&gt;0,"⚠ דורש טיפול","👍 אין איחורים")</f>
        <v/>
      </c>
      <c r="I9" s="48" t="n"/>
      <c r="J9" s="49">
        <f>"תקוע: "&amp;COUNTIF(T_Eff,"תקוע")&amp;" · ממתין: "&amp;COUNTIF(T_Eff,"ממתין")</f>
        <v/>
      </c>
      <c r="K9" s="50" t="n"/>
      <c r="L9" s="51">
        <f>REPT("█",ROUND(L7*10,0))&amp;REPT("░",10-ROUND(L7*10,0))</f>
        <v/>
      </c>
      <c r="M9" s="52" t="n"/>
      <c r="N9" s="53">
        <f>TEXT(KeyActive,"dd/mm/yyyy")&amp;IF(KeyActual&lt;&gt;""," (בפועל)"," (תרחיש "&amp;Scenario&amp;")")</f>
        <v/>
      </c>
      <c r="O9" s="54" t="n"/>
      <c r="P9" s="55">
        <f>IF(EvictDate="","",TEXT(EvictDate,"dd/mm/yyyy")&amp;" · לא אומת")</f>
        <v/>
      </c>
      <c r="Q9" s="56" t="n"/>
    </row>
    <row r="10" ht="12" customHeight="1"/>
    <row r="11" ht="26" customHeight="1">
      <c r="B11" s="57" t="inlineStr">
        <is>
          <t>📊 התקדמות לפי שלב</t>
        </is>
      </c>
      <c r="C11" s="57" t="n"/>
      <c r="D11" s="57" t="n"/>
      <c r="E11" s="57" t="n"/>
      <c r="F11" s="57" t="n"/>
      <c r="G11" s="57" t="n"/>
      <c r="H11" s="57" t="n"/>
      <c r="I11" s="57" t="n"/>
      <c r="K11" s="58" t="inlineStr">
        <is>
          <t>📅 על השולחן — 14 הימים הקרובים (כולל באיחור)</t>
        </is>
      </c>
      <c r="L11" s="58" t="n"/>
      <c r="M11" s="58" t="n"/>
      <c r="N11" s="58" t="n"/>
      <c r="O11" s="58" t="n"/>
      <c r="P11" s="58" t="n"/>
      <c r="Q11" s="58" t="n"/>
    </row>
    <row r="12">
      <c r="B12" s="59" t="inlineStr">
        <is>
          <t>שלב</t>
        </is>
      </c>
      <c r="C12" s="59" t="n"/>
      <c r="D12" s="59" t="n"/>
      <c r="E12" s="59" t="inlineStr">
        <is>
          <t>משימות</t>
        </is>
      </c>
      <c r="F12" s="59" t="inlineStr">
        <is>
          <t>הושלמו</t>
        </is>
      </c>
      <c r="G12" s="59" t="inlineStr">
        <is>
          <t>פתוחות</t>
        </is>
      </c>
      <c r="H12" s="59" t="inlineStr">
        <is>
          <t>% התקדמות</t>
        </is>
      </c>
      <c r="I12" s="59" t="n"/>
      <c r="K12" s="60" t="inlineStr">
        <is>
          <t>🎯 יעד</t>
        </is>
      </c>
      <c r="L12" s="60" t="inlineStr">
        <is>
          <t>ID</t>
        </is>
      </c>
      <c r="M12" s="60" t="inlineStr">
        <is>
          <t>משימה</t>
        </is>
      </c>
      <c r="N12" s="60" t="n"/>
      <c r="O12" s="60" t="n"/>
      <c r="P12" s="60" t="inlineStr">
        <is>
          <t>אחראי</t>
        </is>
      </c>
      <c r="Q12" s="60" t="inlineStr">
        <is>
          <t>מצב</t>
        </is>
      </c>
    </row>
    <row r="13" ht="30" customHeight="1">
      <c r="B13" s="61" t="inlineStr">
        <is>
          <t>0 איסוף מידע</t>
        </is>
      </c>
      <c r="C13" s="62" t="n"/>
      <c r="D13" s="62" t="n"/>
      <c r="E13" s="62">
        <f>COUNTIF(T_Phase,B13)</f>
        <v/>
      </c>
      <c r="F13" s="62">
        <f>COUNTIFS(T_Phase,B13,T_Status,"הושלם")</f>
        <v/>
      </c>
      <c r="G13" s="62">
        <f>E13-F13-COUNTIFS(T_Phase,B13,T_Status,"בוטל")</f>
        <v/>
      </c>
      <c r="H13" s="63">
        <f>IFERROR(SUMIFS(T_Prog,T_Phase,B13,T_Status,"&lt;&gt;בוטל")/(E13-COUNTIFS(T_Phase,B13,T_Status,"בוטל")),0)</f>
        <v/>
      </c>
      <c r="I13" s="62" t="n"/>
      <c r="K13" s="64">
        <f>IF($S13="","",INDEX(T_Due,$S13))</f>
        <v/>
      </c>
      <c r="L13" s="65">
        <f>IF($S13="","",INDEX(T_ID,$S13))</f>
        <v/>
      </c>
      <c r="M13" s="66">
        <f>IF($S13="","",INDEX(T_Task,$S13))</f>
        <v/>
      </c>
      <c r="N13" s="67" t="n"/>
      <c r="O13" s="67" t="n"/>
      <c r="P13" s="67">
        <f>IF($S13="","",INDEX(T_Owner,$S13))</f>
        <v/>
      </c>
      <c r="Q13" s="67">
        <f>IF($S13="","",INDEX(T_Eff,$S13))</f>
        <v/>
      </c>
      <c r="S13">
        <f>IFERROR(MATCH(SMALL(T_Up,1),T_Up,0),"")</f>
        <v/>
      </c>
    </row>
    <row r="14" ht="30" customHeight="1">
      <c r="B14" s="68" t="inlineStr">
        <is>
          <t>1 היתכנות</t>
        </is>
      </c>
      <c r="C14" s="69" t="n"/>
      <c r="D14" s="69" t="n"/>
      <c r="E14" s="69">
        <f>COUNTIF(T_Phase,B14)</f>
        <v/>
      </c>
      <c r="F14" s="69">
        <f>COUNTIFS(T_Phase,B14,T_Status,"הושלם")</f>
        <v/>
      </c>
      <c r="G14" s="69">
        <f>E14-F14-COUNTIFS(T_Phase,B14,T_Status,"בוטל")</f>
        <v/>
      </c>
      <c r="H14" s="70">
        <f>IFERROR(SUMIFS(T_Prog,T_Phase,B14,T_Status,"&lt;&gt;בוטל")/(E14-COUNTIFS(T_Phase,B14,T_Status,"בוטל")),0)</f>
        <v/>
      </c>
      <c r="I14" s="69" t="n"/>
      <c r="K14" s="71">
        <f>IF($S14="","",INDEX(T_Due,$S14))</f>
        <v/>
      </c>
      <c r="L14" s="72">
        <f>IF($S14="","",INDEX(T_ID,$S14))</f>
        <v/>
      </c>
      <c r="M14" s="73">
        <f>IF($S14="","",INDEX(T_Task,$S14))</f>
        <v/>
      </c>
      <c r="N14" s="74" t="n"/>
      <c r="O14" s="74" t="n"/>
      <c r="P14" s="74">
        <f>IF($S14="","",INDEX(T_Owner,$S14))</f>
        <v/>
      </c>
      <c r="Q14" s="74">
        <f>IF($S14="","",INDEX(T_Eff,$S14))</f>
        <v/>
      </c>
      <c r="S14">
        <f>IFERROR(MATCH(SMALL(T_Up,2),T_Up,0),"")</f>
        <v/>
      </c>
    </row>
    <row r="15" ht="30" customHeight="1">
      <c r="B15" s="61" t="inlineStr">
        <is>
          <t>2 תכנון</t>
        </is>
      </c>
      <c r="C15" s="62" t="n"/>
      <c r="D15" s="62" t="n"/>
      <c r="E15" s="62">
        <f>COUNTIF(T_Phase,B15)</f>
        <v/>
      </c>
      <c r="F15" s="62">
        <f>COUNTIFS(T_Phase,B15,T_Status,"הושלם")</f>
        <v/>
      </c>
      <c r="G15" s="62">
        <f>E15-F15-COUNTIFS(T_Phase,B15,T_Status,"בוטל")</f>
        <v/>
      </c>
      <c r="H15" s="63">
        <f>IFERROR(SUMIFS(T_Prog,T_Phase,B15,T_Status,"&lt;&gt;בוטל")/(E15-COUNTIFS(T_Phase,B15,T_Status,"בוטל")),0)</f>
        <v/>
      </c>
      <c r="I15" s="62" t="n"/>
      <c r="K15" s="64">
        <f>IF($S15="","",INDEX(T_Due,$S15))</f>
        <v/>
      </c>
      <c r="L15" s="65">
        <f>IF($S15="","",INDEX(T_ID,$S15))</f>
        <v/>
      </c>
      <c r="M15" s="66">
        <f>IF($S15="","",INDEX(T_Task,$S15))</f>
        <v/>
      </c>
      <c r="N15" s="67" t="n"/>
      <c r="O15" s="67" t="n"/>
      <c r="P15" s="67">
        <f>IF($S15="","",INDEX(T_Owner,$S15))</f>
        <v/>
      </c>
      <c r="Q15" s="67">
        <f>IF($S15="","",INDEX(T_Eff,$S15))</f>
        <v/>
      </c>
      <c r="S15">
        <f>IFERROR(MATCH(SMALL(T_Up,3),T_Up,0),"")</f>
        <v/>
      </c>
    </row>
    <row r="16" ht="30" customHeight="1">
      <c r="B16" s="68" t="inlineStr">
        <is>
          <t>3 התקשרויות</t>
        </is>
      </c>
      <c r="C16" s="69" t="n"/>
      <c r="D16" s="69" t="n"/>
      <c r="E16" s="69">
        <f>COUNTIF(T_Phase,B16)</f>
        <v/>
      </c>
      <c r="F16" s="69">
        <f>COUNTIFS(T_Phase,B16,T_Status,"הושלם")</f>
        <v/>
      </c>
      <c r="G16" s="69">
        <f>E16-F16-COUNTIFS(T_Phase,B16,T_Status,"בוטל")</f>
        <v/>
      </c>
      <c r="H16" s="70">
        <f>IFERROR(SUMIFS(T_Prog,T_Phase,B16,T_Status,"&lt;&gt;בוטל")/(E16-COUNTIFS(T_Phase,B16,T_Status,"בוטל")),0)</f>
        <v/>
      </c>
      <c r="I16" s="69" t="n"/>
      <c r="K16" s="71">
        <f>IF($S16="","",INDEX(T_Due,$S16))</f>
        <v/>
      </c>
      <c r="L16" s="72">
        <f>IF($S16="","",INDEX(T_ID,$S16))</f>
        <v/>
      </c>
      <c r="M16" s="73">
        <f>IF($S16="","",INDEX(T_Task,$S16))</f>
        <v/>
      </c>
      <c r="N16" s="74" t="n"/>
      <c r="O16" s="74" t="n"/>
      <c r="P16" s="74">
        <f>IF($S16="","",INDEX(T_Owner,$S16))</f>
        <v/>
      </c>
      <c r="Q16" s="74">
        <f>IF($S16="","",INDEX(T_Eff,$S16))</f>
        <v/>
      </c>
      <c r="S16">
        <f>IFERROR(MATCH(SMALL(T_Up,4),T_Up,0),"")</f>
        <v/>
      </c>
    </row>
    <row r="17" ht="30" customHeight="1">
      <c r="B17" s="61" t="inlineStr">
        <is>
          <t>4 שלד ופתחים</t>
        </is>
      </c>
      <c r="C17" s="62" t="n"/>
      <c r="D17" s="62" t="n"/>
      <c r="E17" s="62">
        <f>COUNTIF(T_Phase,B17)</f>
        <v/>
      </c>
      <c r="F17" s="62">
        <f>COUNTIFS(T_Phase,B17,T_Status,"הושלם")</f>
        <v/>
      </c>
      <c r="G17" s="62">
        <f>E17-F17-COUNTIFS(T_Phase,B17,T_Status,"בוטל")</f>
        <v/>
      </c>
      <c r="H17" s="63">
        <f>IFERROR(SUMIFS(T_Prog,T_Phase,B17,T_Status,"&lt;&gt;בוטל")/(E17-COUNTIFS(T_Phase,B17,T_Status,"בוטל")),0)</f>
        <v/>
      </c>
      <c r="I17" s="62" t="n"/>
      <c r="K17" s="64">
        <f>IF($S17="","",INDEX(T_Due,$S17))</f>
        <v/>
      </c>
      <c r="L17" s="65">
        <f>IF($S17="","",INDEX(T_ID,$S17))</f>
        <v/>
      </c>
      <c r="M17" s="66">
        <f>IF($S17="","",INDEX(T_Task,$S17))</f>
        <v/>
      </c>
      <c r="N17" s="67" t="n"/>
      <c r="O17" s="67" t="n"/>
      <c r="P17" s="67">
        <f>IF($S17="","",INDEX(T_Owner,$S17))</f>
        <v/>
      </c>
      <c r="Q17" s="67">
        <f>IF($S17="","",INDEX(T_Eff,$S17))</f>
        <v/>
      </c>
      <c r="S17">
        <f>IFERROR(MATCH(SMALL(T_Up,5),T_Up,0),"")</f>
        <v/>
      </c>
    </row>
    <row r="18" ht="30" customHeight="1">
      <c r="B18" s="68" t="inlineStr">
        <is>
          <t>5 מערכות</t>
        </is>
      </c>
      <c r="C18" s="69" t="n"/>
      <c r="D18" s="69" t="n"/>
      <c r="E18" s="69">
        <f>COUNTIF(T_Phase,B18)</f>
        <v/>
      </c>
      <c r="F18" s="69">
        <f>COUNTIFS(T_Phase,B18,T_Status,"הושלם")</f>
        <v/>
      </c>
      <c r="G18" s="69">
        <f>E18-F18-COUNTIFS(T_Phase,B18,T_Status,"בוטל")</f>
        <v/>
      </c>
      <c r="H18" s="70">
        <f>IFERROR(SUMIFS(T_Prog,T_Phase,B18,T_Status,"&lt;&gt;בוטל")/(E18-COUNTIFS(T_Phase,B18,T_Status,"בוטל")),0)</f>
        <v/>
      </c>
      <c r="I18" s="69" t="n"/>
      <c r="K18" s="71">
        <f>IF($S18="","",INDEX(T_Due,$S18))</f>
        <v/>
      </c>
      <c r="L18" s="72">
        <f>IF($S18="","",INDEX(T_ID,$S18))</f>
        <v/>
      </c>
      <c r="M18" s="73">
        <f>IF($S18="","",INDEX(T_Task,$S18))</f>
        <v/>
      </c>
      <c r="N18" s="74" t="n"/>
      <c r="O18" s="74" t="n"/>
      <c r="P18" s="74">
        <f>IF($S18="","",INDEX(T_Owner,$S18))</f>
        <v/>
      </c>
      <c r="Q18" s="74">
        <f>IF($S18="","",INDEX(T_Eff,$S18))</f>
        <v/>
      </c>
      <c r="S18">
        <f>IFERROR(MATCH(SMALL(T_Up,6),T_Up,0),"")</f>
        <v/>
      </c>
    </row>
    <row r="19" ht="30" customHeight="1">
      <c r="B19" s="61" t="inlineStr">
        <is>
          <t>6 גמר פנים</t>
        </is>
      </c>
      <c r="C19" s="62" t="n"/>
      <c r="D19" s="62" t="n"/>
      <c r="E19" s="62">
        <f>COUNTIF(T_Phase,B19)</f>
        <v/>
      </c>
      <c r="F19" s="62">
        <f>COUNTIFS(T_Phase,B19,T_Status,"הושלם")</f>
        <v/>
      </c>
      <c r="G19" s="62">
        <f>E19-F19-COUNTIFS(T_Phase,B19,T_Status,"בוטל")</f>
        <v/>
      </c>
      <c r="H19" s="63">
        <f>IFERROR(SUMIFS(T_Prog,T_Phase,B19,T_Status,"&lt;&gt;בוטל")/(E19-COUNTIFS(T_Phase,B19,T_Status,"בוטל")),0)</f>
        <v/>
      </c>
      <c r="I19" s="62" t="n"/>
      <c r="K19" s="64">
        <f>IF($S19="","",INDEX(T_Due,$S19))</f>
        <v/>
      </c>
      <c r="L19" s="65">
        <f>IF($S19="","",INDEX(T_ID,$S19))</f>
        <v/>
      </c>
      <c r="M19" s="66">
        <f>IF($S19="","",INDEX(T_Task,$S19))</f>
        <v/>
      </c>
      <c r="N19" s="67" t="n"/>
      <c r="O19" s="67" t="n"/>
      <c r="P19" s="67">
        <f>IF($S19="","",INDEX(T_Owner,$S19))</f>
        <v/>
      </c>
      <c r="Q19" s="67">
        <f>IF($S19="","",INDEX(T_Eff,$S19))</f>
        <v/>
      </c>
      <c r="S19">
        <f>IFERROR(MATCH(SMALL(T_Up,7),T_Up,0),"")</f>
        <v/>
      </c>
    </row>
    <row r="20" ht="30" customHeight="1">
      <c r="B20" s="68" t="inlineStr">
        <is>
          <t>7 חוץ ופיתוח</t>
        </is>
      </c>
      <c r="C20" s="69" t="n"/>
      <c r="D20" s="69" t="n"/>
      <c r="E20" s="69">
        <f>COUNTIF(T_Phase,B20)</f>
        <v/>
      </c>
      <c r="F20" s="69">
        <f>COUNTIFS(T_Phase,B20,T_Status,"הושלם")</f>
        <v/>
      </c>
      <c r="G20" s="69">
        <f>E20-F20-COUNTIFS(T_Phase,B20,T_Status,"בוטל")</f>
        <v/>
      </c>
      <c r="H20" s="70">
        <f>IFERROR(SUMIFS(T_Prog,T_Phase,B20,T_Status,"&lt;&gt;בוטל")/(E20-COUNTIFS(T_Phase,B20,T_Status,"בוטל")),0)</f>
        <v/>
      </c>
      <c r="I20" s="69" t="n"/>
      <c r="K20" s="71">
        <f>IF($S20="","",INDEX(T_Due,$S20))</f>
        <v/>
      </c>
      <c r="L20" s="72">
        <f>IF($S20="","",INDEX(T_ID,$S20))</f>
        <v/>
      </c>
      <c r="M20" s="73">
        <f>IF($S20="","",INDEX(T_Task,$S20))</f>
        <v/>
      </c>
      <c r="N20" s="74" t="n"/>
      <c r="O20" s="74" t="n"/>
      <c r="P20" s="74">
        <f>IF($S20="","",INDEX(T_Owner,$S20))</f>
        <v/>
      </c>
      <c r="Q20" s="74">
        <f>IF($S20="","",INDEX(T_Eff,$S20))</f>
        <v/>
      </c>
      <c r="S20">
        <f>IFERROR(MATCH(SMALL(T_Up,8),T_Up,0),"")</f>
        <v/>
      </c>
    </row>
    <row r="21" ht="30" customHeight="1">
      <c r="B21" s="61" t="inlineStr">
        <is>
          <t>8 ריהוט</t>
        </is>
      </c>
      <c r="C21" s="62" t="n"/>
      <c r="D21" s="62" t="n"/>
      <c r="E21" s="62">
        <f>COUNTIF(T_Phase,B21)</f>
        <v/>
      </c>
      <c r="F21" s="62">
        <f>COUNTIFS(T_Phase,B21,T_Status,"הושלם")</f>
        <v/>
      </c>
      <c r="G21" s="62">
        <f>E21-F21-COUNTIFS(T_Phase,B21,T_Status,"בוטל")</f>
        <v/>
      </c>
      <c r="H21" s="63">
        <f>IFERROR(SUMIFS(T_Prog,T_Phase,B21,T_Status,"&lt;&gt;בוטל")/(E21-COUNTIFS(T_Phase,B21,T_Status,"בוטל")),0)</f>
        <v/>
      </c>
      <c r="I21" s="62" t="n"/>
      <c r="K21" s="64">
        <f>IF($S21="","",INDEX(T_Due,$S21))</f>
        <v/>
      </c>
      <c r="L21" s="65">
        <f>IF($S21="","",INDEX(T_ID,$S21))</f>
        <v/>
      </c>
      <c r="M21" s="66">
        <f>IF($S21="","",INDEX(T_Task,$S21))</f>
        <v/>
      </c>
      <c r="N21" s="67" t="n"/>
      <c r="O21" s="67" t="n"/>
      <c r="P21" s="67">
        <f>IF($S21="","",INDEX(T_Owner,$S21))</f>
        <v/>
      </c>
      <c r="Q21" s="67">
        <f>IF($S21="","",INDEX(T_Eff,$S21))</f>
        <v/>
      </c>
      <c r="S21">
        <f>IFERROR(MATCH(SMALL(T_Up,9),T_Up,0),"")</f>
        <v/>
      </c>
    </row>
    <row r="22" ht="30" customHeight="1">
      <c r="B22" s="68" t="inlineStr">
        <is>
          <t>9 מסירה</t>
        </is>
      </c>
      <c r="C22" s="69" t="n"/>
      <c r="D22" s="69" t="n"/>
      <c r="E22" s="69">
        <f>COUNTIF(T_Phase,B22)</f>
        <v/>
      </c>
      <c r="F22" s="69">
        <f>COUNTIFS(T_Phase,B22,T_Status,"הושלם")</f>
        <v/>
      </c>
      <c r="G22" s="69">
        <f>E22-F22-COUNTIFS(T_Phase,B22,T_Status,"בוטל")</f>
        <v/>
      </c>
      <c r="H22" s="70">
        <f>IFERROR(SUMIFS(T_Prog,T_Phase,B22,T_Status,"&lt;&gt;בוטל")/(E22-COUNTIFS(T_Phase,B22,T_Status,"בוטל")),0)</f>
        <v/>
      </c>
      <c r="I22" s="69" t="n"/>
      <c r="K22" s="71">
        <f>IF($S22="","",INDEX(T_Due,$S22))</f>
        <v/>
      </c>
      <c r="L22" s="72">
        <f>IF($S22="","",INDEX(T_ID,$S22))</f>
        <v/>
      </c>
      <c r="M22" s="73">
        <f>IF($S22="","",INDEX(T_Task,$S22))</f>
        <v/>
      </c>
      <c r="N22" s="74" t="n"/>
      <c r="O22" s="74" t="n"/>
      <c r="P22" s="74">
        <f>IF($S22="","",INDEX(T_Owner,$S22))</f>
        <v/>
      </c>
      <c r="Q22" s="74">
        <f>IF($S22="","",INDEX(T_Eff,$S22))</f>
        <v/>
      </c>
      <c r="S22">
        <f>IFERROR(MATCH(SMALL(T_Up,10),T_Up,0),"")</f>
        <v/>
      </c>
    </row>
    <row r="23" ht="30" customHeight="1">
      <c r="B23" s="61" t="inlineStr">
        <is>
          <t>הכנה למעבר</t>
        </is>
      </c>
      <c r="C23" s="62" t="n"/>
      <c r="D23" s="62" t="n"/>
      <c r="E23" s="62">
        <f>COUNTIF(T_Phase,B23)</f>
        <v/>
      </c>
      <c r="F23" s="62">
        <f>COUNTIFS(T_Phase,B23,T_Status,"הושלם")</f>
        <v/>
      </c>
      <c r="G23" s="62">
        <f>E23-F23-COUNTIFS(T_Phase,B23,T_Status,"בוטל")</f>
        <v/>
      </c>
      <c r="H23" s="63">
        <f>IFERROR(SUMIFS(T_Prog,T_Phase,B23,T_Status,"&lt;&gt;בוטל")/(E23-COUNTIFS(T_Phase,B23,T_Status,"בוטל")),0)</f>
        <v/>
      </c>
      <c r="I23" s="62" t="n"/>
      <c r="K23" s="64">
        <f>IF($S23="","",INDEX(T_Due,$S23))</f>
        <v/>
      </c>
      <c r="L23" s="65">
        <f>IF($S23="","",INDEX(T_ID,$S23))</f>
        <v/>
      </c>
      <c r="M23" s="66">
        <f>IF($S23="","",INDEX(T_Task,$S23))</f>
        <v/>
      </c>
      <c r="N23" s="67" t="n"/>
      <c r="O23" s="67" t="n"/>
      <c r="P23" s="67">
        <f>IF($S23="","",INDEX(T_Owner,$S23))</f>
        <v/>
      </c>
      <c r="Q23" s="67">
        <f>IF($S23="","",INDEX(T_Eff,$S23))</f>
        <v/>
      </c>
      <c r="S23">
        <f>IFERROR(MATCH(SMALL(T_Up,11),T_Up,0),"")</f>
        <v/>
      </c>
    </row>
    <row r="24" ht="30" customHeight="1">
      <c r="B24" s="68" t="inlineStr">
        <is>
          <t>ניהול</t>
        </is>
      </c>
      <c r="C24" s="69" t="n"/>
      <c r="D24" s="69" t="n"/>
      <c r="E24" s="69">
        <f>COUNTIF(T_Phase,B24)</f>
        <v/>
      </c>
      <c r="F24" s="69">
        <f>COUNTIFS(T_Phase,B24,T_Status,"הושלם")</f>
        <v/>
      </c>
      <c r="G24" s="69">
        <f>E24-F24-COUNTIFS(T_Phase,B24,T_Status,"בוטל")</f>
        <v/>
      </c>
      <c r="H24" s="70">
        <f>IFERROR(SUMIFS(T_Prog,T_Phase,B24,T_Status,"&lt;&gt;בוטל")/(E24-COUNTIFS(T_Phase,B24,T_Status,"בוטל")),0)</f>
        <v/>
      </c>
      <c r="I24" s="69" t="n"/>
      <c r="K24" s="71">
        <f>IF($S24="","",INDEX(T_Due,$S24))</f>
        <v/>
      </c>
      <c r="L24" s="72">
        <f>IF($S24="","",INDEX(T_ID,$S24))</f>
        <v/>
      </c>
      <c r="M24" s="73">
        <f>IF($S24="","",INDEX(T_Task,$S24))</f>
        <v/>
      </c>
      <c r="N24" s="74" t="n"/>
      <c r="O24" s="74" t="n"/>
      <c r="P24" s="74">
        <f>IF($S24="","",INDEX(T_Owner,$S24))</f>
        <v/>
      </c>
      <c r="Q24" s="74">
        <f>IF($S24="","",INDEX(T_Eff,$S24))</f>
        <v/>
      </c>
      <c r="S24">
        <f>IFERROR(MATCH(SMALL(T_Up,12),T_Up,0),"")</f>
        <v/>
      </c>
    </row>
    <row r="25" ht="30" customHeight="1">
      <c r="B25" s="61" t="inlineStr">
        <is>
          <t>A: מגורים בזמן שיפוץ</t>
        </is>
      </c>
      <c r="C25" s="62" t="n"/>
      <c r="D25" s="62" t="n"/>
      <c r="E25" s="62">
        <f>COUNTIF(T_Phase,B25)</f>
        <v/>
      </c>
      <c r="F25" s="62">
        <f>COUNTIFS(T_Phase,B25,T_Status,"הושלם")</f>
        <v/>
      </c>
      <c r="G25" s="62">
        <f>E25-F25-COUNTIFS(T_Phase,B25,T_Status,"בוטל")</f>
        <v/>
      </c>
      <c r="H25" s="63">
        <f>IFERROR(SUMIFS(T_Prog,T_Phase,B25,T_Status,"&lt;&gt;בוטל")/(E25-COUNTIFS(T_Phase,B25,T_Status,"בוטל")),0)</f>
        <v/>
      </c>
      <c r="I25" s="62" t="n"/>
      <c r="K25" s="64">
        <f>IF($S25="","",INDEX(T_Due,$S25))</f>
        <v/>
      </c>
      <c r="L25" s="65">
        <f>IF($S25="","",INDEX(T_ID,$S25))</f>
        <v/>
      </c>
      <c r="M25" s="66">
        <f>IF($S25="","",INDEX(T_Task,$S25))</f>
        <v/>
      </c>
      <c r="N25" s="67" t="n"/>
      <c r="O25" s="67" t="n"/>
      <c r="P25" s="67">
        <f>IF($S25="","",INDEX(T_Owner,$S25))</f>
        <v/>
      </c>
      <c r="Q25" s="67">
        <f>IF($S25="","",INDEX(T_Eff,$S25))</f>
        <v/>
      </c>
      <c r="S25">
        <f>IFERROR(MATCH(SMALL(T_Up,13),T_Up,0),"")</f>
        <v/>
      </c>
    </row>
    <row r="26" ht="30" customHeight="1">
      <c r="B26" s="68" t="inlineStr">
        <is>
          <t>B: מגורי ביניים</t>
        </is>
      </c>
      <c r="C26" s="69" t="n"/>
      <c r="D26" s="69" t="n"/>
      <c r="E26" s="69">
        <f>COUNTIF(T_Phase,B26)</f>
        <v/>
      </c>
      <c r="F26" s="69">
        <f>COUNTIFS(T_Phase,B26,T_Status,"הושלם")</f>
        <v/>
      </c>
      <c r="G26" s="69">
        <f>E26-F26-COUNTIFS(T_Phase,B26,T_Status,"בוטל")</f>
        <v/>
      </c>
      <c r="H26" s="70">
        <f>IFERROR(SUMIFS(T_Prog,T_Phase,B26,T_Status,"&lt;&gt;בוטל")/(E26-COUNTIFS(T_Phase,B26,T_Status,"בוטל")),0)</f>
        <v/>
      </c>
      <c r="I26" s="69" t="n"/>
      <c r="K26" s="71">
        <f>IF($S26="","",INDEX(T_Due,$S26))</f>
        <v/>
      </c>
      <c r="L26" s="72">
        <f>IF($S26="","",INDEX(T_ID,$S26))</f>
        <v/>
      </c>
      <c r="M26" s="73">
        <f>IF($S26="","",INDEX(T_Task,$S26))</f>
        <v/>
      </c>
      <c r="N26" s="74" t="n"/>
      <c r="O26" s="74" t="n"/>
      <c r="P26" s="74">
        <f>IF($S26="","",INDEX(T_Owner,$S26))</f>
        <v/>
      </c>
      <c r="Q26" s="74">
        <f>IF($S26="","",INDEX(T_Eff,$S26))</f>
        <v/>
      </c>
      <c r="S26">
        <f>IFERROR(MATCH(SMALL(T_Up,14),T_Up,0),"")</f>
        <v/>
      </c>
    </row>
    <row r="27" ht="30" customHeight="1">
      <c r="B27" s="75" t="inlineStr">
        <is>
          <t>סה"כ</t>
        </is>
      </c>
      <c r="C27" s="75" t="n"/>
      <c r="D27" s="75" t="n"/>
      <c r="E27" s="75">
        <f>SUM(E13:E26)</f>
        <v/>
      </c>
      <c r="F27" s="75">
        <f>SUM(F13:F26)</f>
        <v/>
      </c>
      <c r="G27" s="75">
        <f>SUM(G13:G26)</f>
        <v/>
      </c>
      <c r="H27" s="76">
        <f>L7</f>
        <v/>
      </c>
      <c r="I27" s="75" t="n"/>
      <c r="K27" s="64">
        <f>IF($S27="","",INDEX(T_Due,$S27))</f>
        <v/>
      </c>
      <c r="L27" s="65">
        <f>IF($S27="","",INDEX(T_ID,$S27))</f>
        <v/>
      </c>
      <c r="M27" s="66">
        <f>IF($S27="","",INDEX(T_Task,$S27))</f>
        <v/>
      </c>
      <c r="N27" s="67" t="n"/>
      <c r="O27" s="67" t="n"/>
      <c r="P27" s="67">
        <f>IF($S27="","",INDEX(T_Owner,$S27))</f>
        <v/>
      </c>
      <c r="Q27" s="67">
        <f>IF($S27="","",INDEX(T_Eff,$S27))</f>
        <v/>
      </c>
      <c r="S27">
        <f>IFERROR(MATCH(SMALL(T_Up,15),T_Up,0),"")</f>
        <v/>
      </c>
    </row>
    <row r="28">
      <c r="K28" s="8">
        <f>IF(COUNT(T_Up)&gt;15,"+ עוד "&amp;(COUNT(T_Up)-15)&amp;" משימות פתוחות בחלון — ראו לשונית משימות / לפי אחראי","סה''כ בחלון: "&amp;COUNT(T_Up)&amp;" משימות")</f>
        <v/>
      </c>
      <c r="L28" s="8" t="n"/>
      <c r="M28" s="8" t="n"/>
      <c r="N28" s="8" t="n"/>
      <c r="O28" s="8" t="n"/>
      <c r="P28" s="8" t="n"/>
      <c r="Q28" s="8" t="n"/>
    </row>
    <row r="30" ht="26" customHeight="1">
      <c r="B30" s="77" t="inlineStr">
        <is>
          <t>⚖️ החלטות קריטיות הבאות</t>
        </is>
      </c>
      <c r="C30" s="77" t="n"/>
      <c r="D30" s="77" t="n"/>
      <c r="E30" s="77" t="n"/>
      <c r="F30" s="77" t="n"/>
      <c r="G30" s="77" t="n"/>
      <c r="H30" s="77" t="n"/>
      <c r="I30" s="77" t="n"/>
      <c r="K30" s="78" t="inlineStr">
        <is>
          <t>🏁 אבני הדרך הבאות</t>
        </is>
      </c>
      <c r="L30" s="78" t="n"/>
      <c r="M30" s="78" t="n"/>
      <c r="N30" s="78" t="n"/>
      <c r="O30" s="78" t="n"/>
      <c r="P30" s="78" t="n"/>
      <c r="Q30" s="78" t="n"/>
    </row>
    <row r="31">
      <c r="B31" s="79" t="inlineStr">
        <is>
          <t>#</t>
        </is>
      </c>
      <c r="C31" s="79" t="inlineStr">
        <is>
          <t>החלטה</t>
        </is>
      </c>
      <c r="D31" s="79" t="n"/>
      <c r="E31" s="79" t="n"/>
      <c r="F31" s="79" t="n"/>
      <c r="G31" s="79" t="inlineStr">
        <is>
          <t>משימה</t>
        </is>
      </c>
      <c r="H31" s="79" t="inlineStr">
        <is>
          <t>🎯 יעד</t>
        </is>
      </c>
      <c r="I31" s="79" t="inlineStr">
        <is>
          <t>מצב</t>
        </is>
      </c>
      <c r="K31" s="80" t="inlineStr">
        <is>
          <t>📍 תאריך</t>
        </is>
      </c>
      <c r="L31" s="80" t="inlineStr">
        <is>
          <t>#</t>
        </is>
      </c>
      <c r="M31" s="80" t="inlineStr">
        <is>
          <t>אבן דרך</t>
        </is>
      </c>
      <c r="N31" s="80" t="n"/>
      <c r="O31" s="80" t="n"/>
      <c r="P31" s="80" t="inlineStr">
        <is>
          <t>⏳ ימים</t>
        </is>
      </c>
      <c r="Q31" s="80" t="n"/>
    </row>
    <row r="32" ht="30" customHeight="1">
      <c r="B32" s="81">
        <f>IF($T32="","",INDEX(D_No,$T32))</f>
        <v/>
      </c>
      <c r="C32" s="82">
        <f>IF($T32="","",INDEX(D_Name,$T32))</f>
        <v/>
      </c>
      <c r="D32" s="83" t="n"/>
      <c r="E32" s="83" t="n"/>
      <c r="F32" s="83" t="n"/>
      <c r="G32" s="83">
        <f>IF($T32="","",INDEX(D_Task,$T32))</f>
        <v/>
      </c>
      <c r="H32" s="84">
        <f>IF($T32="","",INDEX(D_Due,$T32))</f>
        <v/>
      </c>
      <c r="I32" s="83">
        <f>IF($T32="","",INDEX(D_Status,$T32))</f>
        <v/>
      </c>
      <c r="K32" s="85">
        <f>IF($U32="","",INDEX(M_Date,$U32))</f>
        <v/>
      </c>
      <c r="L32" s="86">
        <f>IF($U32="","",INDEX(M_ID,$U32))</f>
        <v/>
      </c>
      <c r="M32" s="87">
        <f>IF($U32="","",INDEX(M_Name,$U32))</f>
        <v/>
      </c>
      <c r="N32" s="88" t="n"/>
      <c r="O32" s="88" t="n"/>
      <c r="P32" s="88">
        <f>IF($U32="","",INDEX(M_Date,$U32)-Today_)</f>
        <v/>
      </c>
      <c r="Q32" s="88" t="n"/>
      <c r="T32">
        <f>IFERROR(MATCH(SMALL(D_Key,1),D_Key,0),"")</f>
        <v/>
      </c>
      <c r="U32">
        <f>IFERROR(MATCH(SMALL(M_Key,1),M_Key,0),"")</f>
        <v/>
      </c>
    </row>
    <row r="33" ht="30" customHeight="1">
      <c r="B33" s="89">
        <f>IF($T33="","",INDEX(D_No,$T33))</f>
        <v/>
      </c>
      <c r="C33" s="73">
        <f>IF($T33="","",INDEX(D_Name,$T33))</f>
        <v/>
      </c>
      <c r="D33" s="74" t="n"/>
      <c r="E33" s="74" t="n"/>
      <c r="F33" s="74" t="n"/>
      <c r="G33" s="74">
        <f>IF($T33="","",INDEX(D_Task,$T33))</f>
        <v/>
      </c>
      <c r="H33" s="71">
        <f>IF($T33="","",INDEX(D_Due,$T33))</f>
        <v/>
      </c>
      <c r="I33" s="74">
        <f>IF($T33="","",INDEX(D_Status,$T33))</f>
        <v/>
      </c>
      <c r="K33" s="90">
        <f>IF($U33="","",INDEX(M_Date,$U33))</f>
        <v/>
      </c>
      <c r="L33" s="91">
        <f>IF($U33="","",INDEX(M_ID,$U33))</f>
        <v/>
      </c>
      <c r="M33" s="73">
        <f>IF($U33="","",INDEX(M_Name,$U33))</f>
        <v/>
      </c>
      <c r="N33" s="74" t="n"/>
      <c r="O33" s="74" t="n"/>
      <c r="P33" s="74">
        <f>IF($U33="","",INDEX(M_Date,$U33)-Today_)</f>
        <v/>
      </c>
      <c r="Q33" s="74" t="n"/>
      <c r="T33">
        <f>IFERROR(MATCH(SMALL(D_Key,2),D_Key,0),"")</f>
        <v/>
      </c>
      <c r="U33">
        <f>IFERROR(MATCH(SMALL(M_Key,2),M_Key,0),"")</f>
        <v/>
      </c>
    </row>
    <row r="34" ht="30" customHeight="1">
      <c r="B34" s="81">
        <f>IF($T34="","",INDEX(D_No,$T34))</f>
        <v/>
      </c>
      <c r="C34" s="82">
        <f>IF($T34="","",INDEX(D_Name,$T34))</f>
        <v/>
      </c>
      <c r="D34" s="83" t="n"/>
      <c r="E34" s="83" t="n"/>
      <c r="F34" s="83" t="n"/>
      <c r="G34" s="83">
        <f>IF($T34="","",INDEX(D_Task,$T34))</f>
        <v/>
      </c>
      <c r="H34" s="84">
        <f>IF($T34="","",INDEX(D_Due,$T34))</f>
        <v/>
      </c>
      <c r="I34" s="83">
        <f>IF($T34="","",INDEX(D_Status,$T34))</f>
        <v/>
      </c>
      <c r="K34" s="85">
        <f>IF($U34="","",INDEX(M_Date,$U34))</f>
        <v/>
      </c>
      <c r="L34" s="86">
        <f>IF($U34="","",INDEX(M_ID,$U34))</f>
        <v/>
      </c>
      <c r="M34" s="87">
        <f>IF($U34="","",INDEX(M_Name,$U34))</f>
        <v/>
      </c>
      <c r="N34" s="88" t="n"/>
      <c r="O34" s="88" t="n"/>
      <c r="P34" s="88">
        <f>IF($U34="","",INDEX(M_Date,$U34)-Today_)</f>
        <v/>
      </c>
      <c r="Q34" s="88" t="n"/>
      <c r="T34">
        <f>IFERROR(MATCH(SMALL(D_Key,3),D_Key,0),"")</f>
        <v/>
      </c>
      <c r="U34">
        <f>IFERROR(MATCH(SMALL(M_Key,3),M_Key,0),"")</f>
        <v/>
      </c>
    </row>
    <row r="35" ht="30" customHeight="1">
      <c r="B35" s="89">
        <f>IF($T35="","",INDEX(D_No,$T35))</f>
        <v/>
      </c>
      <c r="C35" s="73">
        <f>IF($T35="","",INDEX(D_Name,$T35))</f>
        <v/>
      </c>
      <c r="D35" s="74" t="n"/>
      <c r="E35" s="74" t="n"/>
      <c r="F35" s="74" t="n"/>
      <c r="G35" s="74">
        <f>IF($T35="","",INDEX(D_Task,$T35))</f>
        <v/>
      </c>
      <c r="H35" s="71">
        <f>IF($T35="","",INDEX(D_Due,$T35))</f>
        <v/>
      </c>
      <c r="I35" s="74">
        <f>IF($T35="","",INDEX(D_Status,$T35))</f>
        <v/>
      </c>
      <c r="K35" s="90">
        <f>IF($U35="","",INDEX(M_Date,$U35))</f>
        <v/>
      </c>
      <c r="L35" s="91">
        <f>IF($U35="","",INDEX(M_ID,$U35))</f>
        <v/>
      </c>
      <c r="M35" s="73">
        <f>IF($U35="","",INDEX(M_Name,$U35))</f>
        <v/>
      </c>
      <c r="N35" s="74" t="n"/>
      <c r="O35" s="74" t="n"/>
      <c r="P35" s="74">
        <f>IF($U35="","",INDEX(M_Date,$U35)-Today_)</f>
        <v/>
      </c>
      <c r="Q35" s="74" t="n"/>
      <c r="T35">
        <f>IFERROR(MATCH(SMALL(D_Key,4),D_Key,0),"")</f>
        <v/>
      </c>
      <c r="U35">
        <f>IFERROR(MATCH(SMALL(M_Key,4),M_Key,0),"")</f>
        <v/>
      </c>
    </row>
    <row r="36" ht="30" customHeight="1">
      <c r="B36" s="81">
        <f>IF($T36="","",INDEX(D_No,$T36))</f>
        <v/>
      </c>
      <c r="C36" s="82">
        <f>IF($T36="","",INDEX(D_Name,$T36))</f>
        <v/>
      </c>
      <c r="D36" s="83" t="n"/>
      <c r="E36" s="83" t="n"/>
      <c r="F36" s="83" t="n"/>
      <c r="G36" s="83">
        <f>IF($T36="","",INDEX(D_Task,$T36))</f>
        <v/>
      </c>
      <c r="H36" s="84">
        <f>IF($T36="","",INDEX(D_Due,$T36))</f>
        <v/>
      </c>
      <c r="I36" s="83">
        <f>IF($T36="","",INDEX(D_Status,$T36))</f>
        <v/>
      </c>
      <c r="K36" s="85">
        <f>IF($U36="","",INDEX(M_Date,$U36))</f>
        <v/>
      </c>
      <c r="L36" s="86">
        <f>IF($U36="","",INDEX(M_ID,$U36))</f>
        <v/>
      </c>
      <c r="M36" s="87">
        <f>IF($U36="","",INDEX(M_Name,$U36))</f>
        <v/>
      </c>
      <c r="N36" s="88" t="n"/>
      <c r="O36" s="88" t="n"/>
      <c r="P36" s="88">
        <f>IF($U36="","",INDEX(M_Date,$U36)-Today_)</f>
        <v/>
      </c>
      <c r="Q36" s="88" t="n"/>
      <c r="T36">
        <f>IFERROR(MATCH(SMALL(D_Key,5),D_Key,0),"")</f>
        <v/>
      </c>
      <c r="U36">
        <f>IFERROR(MATCH(SMALL(M_Key,5),M_Key,0),"")</f>
        <v/>
      </c>
    </row>
    <row r="37" ht="30" customHeight="1">
      <c r="B37" s="89">
        <f>IF($T37="","",INDEX(D_No,$T37))</f>
        <v/>
      </c>
      <c r="C37" s="73">
        <f>IF($T37="","",INDEX(D_Name,$T37))</f>
        <v/>
      </c>
      <c r="D37" s="74" t="n"/>
      <c r="E37" s="74" t="n"/>
      <c r="F37" s="74" t="n"/>
      <c r="G37" s="74">
        <f>IF($T37="","",INDEX(D_Task,$T37))</f>
        <v/>
      </c>
      <c r="H37" s="71">
        <f>IF($T37="","",INDEX(D_Due,$T37))</f>
        <v/>
      </c>
      <c r="I37" s="74">
        <f>IF($T37="","",INDEX(D_Status,$T37))</f>
        <v/>
      </c>
      <c r="K37" s="90">
        <f>IF($U37="","",INDEX(M_Date,$U37))</f>
        <v/>
      </c>
      <c r="L37" s="91">
        <f>IF($U37="","",INDEX(M_ID,$U37))</f>
        <v/>
      </c>
      <c r="M37" s="73">
        <f>IF($U37="","",INDEX(M_Name,$U37))</f>
        <v/>
      </c>
      <c r="N37" s="74" t="n"/>
      <c r="O37" s="74" t="n"/>
      <c r="P37" s="74">
        <f>IF($U37="","",INDEX(M_Date,$U37)-Today_)</f>
        <v/>
      </c>
      <c r="Q37" s="74" t="n"/>
      <c r="T37">
        <f>IFERROR(MATCH(SMALL(D_Key,6),D_Key,0),"")</f>
        <v/>
      </c>
      <c r="U37">
        <f>IFERROR(MATCH(SMALL(M_Key,6),M_Key,0),"")</f>
        <v/>
      </c>
    </row>
    <row r="39" ht="26" customHeight="1">
      <c r="B39" s="57" t="inlineStr">
        <is>
          <t>📶 גרף התקדמות לפי שלב</t>
        </is>
      </c>
      <c r="C39" s="57" t="n"/>
      <c r="D39" s="57" t="n"/>
      <c r="E39" s="57" t="n"/>
      <c r="F39" s="57" t="n"/>
      <c r="G39" s="57" t="n"/>
      <c r="H39" s="57" t="n"/>
      <c r="I39" s="57" t="n"/>
      <c r="K39" s="92" t="inlineStr">
        <is>
          <t>🧩 התפלגות מצב משימות</t>
        </is>
      </c>
      <c r="L39" s="92" t="n"/>
      <c r="M39" s="92" t="n"/>
      <c r="N39" s="92" t="n"/>
      <c r="O39" s="92" t="n"/>
      <c r="P39" s="92" t="n"/>
      <c r="Q39" s="92" t="n"/>
    </row>
    <row r="40" ht="15" customHeight="1">
      <c r="K40" s="93" t="inlineStr">
        <is>
          <t>מצב</t>
        </is>
      </c>
      <c r="L40" s="93" t="inlineStr">
        <is>
          <t>כמות</t>
        </is>
      </c>
    </row>
    <row r="41" ht="15" customHeight="1">
      <c r="K41" s="94" t="inlineStr">
        <is>
          <t>לא התחיל</t>
        </is>
      </c>
      <c r="L41" s="94">
        <f>COUNTIF(T_Eff,K41)</f>
        <v/>
      </c>
    </row>
    <row r="42" ht="15" customHeight="1">
      <c r="K42" s="95" t="inlineStr">
        <is>
          <t>בתהליך</t>
        </is>
      </c>
      <c r="L42" s="95">
        <f>COUNTIF(T_Eff,K42)</f>
        <v/>
      </c>
    </row>
    <row r="43" ht="15" customHeight="1">
      <c r="K43" s="96" t="inlineStr">
        <is>
          <t>ממתין</t>
        </is>
      </c>
      <c r="L43" s="96">
        <f>COUNTIF(T_Eff,K43)</f>
        <v/>
      </c>
    </row>
    <row r="44" ht="15" customHeight="1">
      <c r="K44" s="97" t="inlineStr">
        <is>
          <t>תקוע</t>
        </is>
      </c>
      <c r="L44" s="97">
        <f>COUNTIF(T_Eff,K44)</f>
        <v/>
      </c>
    </row>
    <row r="45" ht="15" customHeight="1">
      <c r="K45" s="98" t="inlineStr">
        <is>
          <t>באיחור</t>
        </is>
      </c>
      <c r="L45" s="98">
        <f>COUNTIF(T_Eff,K45)</f>
        <v/>
      </c>
    </row>
    <row r="46" ht="15" customHeight="1">
      <c r="K46" s="99" t="inlineStr">
        <is>
          <t>הושלם</t>
        </is>
      </c>
      <c r="L46" s="99">
        <f>COUNTIF(T_Eff,K46)</f>
        <v/>
      </c>
    </row>
    <row r="47" ht="15" customHeight="1">
      <c r="K47" s="100" t="inlineStr">
        <is>
          <t>בוטל</t>
        </is>
      </c>
      <c r="L47" s="100">
        <f>COUNTIF(T_Eff,K47)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</sheetData>
  <mergeCells count="107">
    <mergeCell ref="O4:Q4"/>
    <mergeCell ref="C32:F32"/>
    <mergeCell ref="M12:O12"/>
    <mergeCell ref="C37:F37"/>
    <mergeCell ref="H9:I9"/>
    <mergeCell ref="M21:O21"/>
    <mergeCell ref="J9:K9"/>
    <mergeCell ref="K28:Q28"/>
    <mergeCell ref="D6:E6"/>
    <mergeCell ref="P6:Q6"/>
    <mergeCell ref="K30:Q30"/>
    <mergeCell ref="M24:O24"/>
    <mergeCell ref="B20:D20"/>
    <mergeCell ref="L4:M4"/>
    <mergeCell ref="B7:C8"/>
    <mergeCell ref="P32:Q32"/>
    <mergeCell ref="B2:Q2"/>
    <mergeCell ref="H13:I13"/>
    <mergeCell ref="H15:I15"/>
    <mergeCell ref="P33:Q33"/>
    <mergeCell ref="H23:I23"/>
    <mergeCell ref="M20:O20"/>
    <mergeCell ref="C36:F36"/>
    <mergeCell ref="P35:Q35"/>
    <mergeCell ref="M22:O22"/>
    <mergeCell ref="B17:D17"/>
    <mergeCell ref="M31:O31"/>
    <mergeCell ref="F6:G6"/>
    <mergeCell ref="M15:O15"/>
    <mergeCell ref="P34:Q34"/>
    <mergeCell ref="P9:Q9"/>
    <mergeCell ref="H25:I25"/>
    <mergeCell ref="B19:D19"/>
    <mergeCell ref="M37:O37"/>
    <mergeCell ref="B39:I39"/>
    <mergeCell ref="P36:Q36"/>
    <mergeCell ref="M26:O26"/>
    <mergeCell ref="H17:I17"/>
    <mergeCell ref="M14:O14"/>
    <mergeCell ref="M23:O23"/>
    <mergeCell ref="E4:H4"/>
    <mergeCell ref="K11:Q11"/>
    <mergeCell ref="H19:I19"/>
    <mergeCell ref="P37:Q37"/>
    <mergeCell ref="D9:E9"/>
    <mergeCell ref="F9:G9"/>
    <mergeCell ref="B6:C6"/>
    <mergeCell ref="H12:I12"/>
    <mergeCell ref="L6:M6"/>
    <mergeCell ref="N6:O6"/>
    <mergeCell ref="B21:D21"/>
    <mergeCell ref="H14:I14"/>
    <mergeCell ref="M35:O35"/>
    <mergeCell ref="B14:D14"/>
    <mergeCell ref="B23:D23"/>
    <mergeCell ref="P7:Q8"/>
    <mergeCell ref="H7:I8"/>
    <mergeCell ref="J7:K8"/>
    <mergeCell ref="B13:D13"/>
    <mergeCell ref="M25:O25"/>
    <mergeCell ref="H21:I21"/>
    <mergeCell ref="M33:O33"/>
    <mergeCell ref="B11:I11"/>
    <mergeCell ref="C34:F34"/>
    <mergeCell ref="M17:O17"/>
    <mergeCell ref="M32:O32"/>
    <mergeCell ref="M19:O19"/>
    <mergeCell ref="H16:I16"/>
    <mergeCell ref="H22:I22"/>
    <mergeCell ref="B9:C9"/>
    <mergeCell ref="B25:D25"/>
    <mergeCell ref="L9:M9"/>
    <mergeCell ref="N9:O9"/>
    <mergeCell ref="C31:F31"/>
    <mergeCell ref="B22:D22"/>
    <mergeCell ref="B12:D12"/>
    <mergeCell ref="B4:C4"/>
    <mergeCell ref="H20:I20"/>
    <mergeCell ref="K39:Q39"/>
    <mergeCell ref="D7:E8"/>
    <mergeCell ref="M13:O13"/>
    <mergeCell ref="M16:O16"/>
    <mergeCell ref="P31:Q31"/>
    <mergeCell ref="H6:I6"/>
    <mergeCell ref="M27:O27"/>
    <mergeCell ref="J6:K6"/>
    <mergeCell ref="M36:O36"/>
    <mergeCell ref="M18:O18"/>
    <mergeCell ref="C33:F33"/>
    <mergeCell ref="B15:D15"/>
    <mergeCell ref="B24:D24"/>
    <mergeCell ref="L7:M8"/>
    <mergeCell ref="C35:F35"/>
    <mergeCell ref="N7:O8"/>
    <mergeCell ref="F7:G8"/>
    <mergeCell ref="B26:D26"/>
    <mergeCell ref="M34:O34"/>
    <mergeCell ref="B16:D16"/>
    <mergeCell ref="H27:I27"/>
    <mergeCell ref="I4:J4"/>
    <mergeCell ref="B30:I30"/>
    <mergeCell ref="H24:I24"/>
    <mergeCell ref="B1:Q1"/>
    <mergeCell ref="H18:I18"/>
    <mergeCell ref="B18:D18"/>
    <mergeCell ref="B27:D27"/>
    <mergeCell ref="H26:I26"/>
  </mergeCells>
  <conditionalFormatting sqref="H7:I8">
    <cfRule type="expression" priority="1" dxfId="0">
      <formula>$H$7&gt;0</formula>
    </cfRule>
  </conditionalFormatting>
  <conditionalFormatting sqref="N7:O8">
    <cfRule type="expression" priority="2" dxfId="1">
      <formula>AND(ISNUMBER($N$7),$N$7&lt;=21)</formula>
    </cfRule>
  </conditionalFormatting>
  <conditionalFormatting sqref="H13:H26">
    <cfRule type="dataBar" priority="3">
      <dataBar showValue="1">
        <cfvo type="num" val="0"/>
        <cfvo type="num" val="1"/>
        <color rgb="002A9D8F"/>
      </dataBar>
    </cfRule>
  </conditionalFormatting>
  <conditionalFormatting sqref="Q13:Q27">
    <cfRule type="expression" priority="4" dxfId="2" stopIfTrue="0">
      <formula>$Q13="לא התחיל"</formula>
    </cfRule>
    <cfRule type="expression" priority="5" dxfId="3" stopIfTrue="0">
      <formula>$Q13="בתהליך"</formula>
    </cfRule>
    <cfRule type="expression" priority="6" dxfId="4" stopIfTrue="0">
      <formula>$Q13="ממתין"</formula>
    </cfRule>
    <cfRule type="expression" priority="7" dxfId="5" stopIfTrue="0">
      <formula>$Q13="תקוע"</formula>
    </cfRule>
    <cfRule type="expression" priority="8" dxfId="6" stopIfTrue="0">
      <formula>$Q13="באיחור"</formula>
    </cfRule>
    <cfRule type="expression" priority="9" dxfId="7" stopIfTrue="0">
      <formula>$Q13="הושלם"</formula>
    </cfRule>
    <cfRule type="expression" priority="10" dxfId="8" stopIfTrue="0">
      <formula>$Q13="בוטל"</formula>
    </cfRule>
  </conditionalFormatting>
  <conditionalFormatting sqref="K13:K27">
    <cfRule type="expression" priority="11" dxfId="9">
      <formula>AND(ISNUMBER($K13),$K13&lt;Today_)</formula>
    </cfRule>
    <cfRule type="expression" priority="12" dxfId="10">
      <formula>AND(ISNUMBER($K13),$K13-Today_&lt;=3)</formula>
    </cfRule>
  </conditionalFormatting>
  <conditionalFormatting sqref="I32:I37">
    <cfRule type="expression" priority="13" dxfId="2" stopIfTrue="0">
      <formula>$I32="לא התחיל"</formula>
    </cfRule>
    <cfRule type="expression" priority="14" dxfId="3" stopIfTrue="0">
      <formula>$I32="בתהליך"</formula>
    </cfRule>
    <cfRule type="expression" priority="15" dxfId="4" stopIfTrue="0">
      <formula>$I32="ממתין"</formula>
    </cfRule>
    <cfRule type="expression" priority="16" dxfId="5" stopIfTrue="0">
      <formula>$I32="תקוע"</formula>
    </cfRule>
    <cfRule type="expression" priority="17" dxfId="6" stopIfTrue="0">
      <formula>$I32="באיחור"</formula>
    </cfRule>
    <cfRule type="expression" priority="18" dxfId="7" stopIfTrue="0">
      <formula>$I32="הושלם"</formula>
    </cfRule>
    <cfRule type="expression" priority="19" dxfId="8" stopIfTrue="0">
      <formula>$I32="בוטל"</formula>
    </cfRule>
  </conditionalFormatting>
  <conditionalFormatting sqref="P32:P37">
    <cfRule type="expression" priority="20" dxfId="11">
      <formula>AND(ISNUMBER($P32),$P32&lt;=14)</formula>
    </cfRule>
  </conditionalFormatting>
  <dataValidations count="2">
    <dataValidation sqref="D4" showDropDown="0" showInputMessage="0" showErrorMessage="0" allowBlank="0" error="יש לבחור A או B" promptTitle="בחירת תרחיש" prompt="A = מפתח מוקדם (1.12.2026) · B = מפתח מאוחר (5.1.2027)" type="list">
      <formula1>"A,B"</formula1>
    </dataValidation>
    <dataValidation sqref="K4 N4" showDropDown="0" showInputMessage="0" showErrorMessage="0" allowBlank="1" error="יש להזין תאריך" type="date" operator="greaterThan">
      <formula1>45000</formula1>
    </dataValidation>
  </dataValidations>
  <printOptions horizontalCentered="1"/>
  <pageMargins left="0.4" right="0.4" top="0.5" bottom="0.5" header="0.5" footer="0.5"/>
  <pageSetup orientation="portrait" paperSize="9" fitToHeight="1" fitToWidth="1"/>
  <headerFooter>
    <oddHeader/>
    <oddFooter>&amp;C&amp;P / &amp;N&amp;R&amp;A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AA95"/>
  <sheetViews>
    <sheetView showGridLines="0" rightToLeft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36" customWidth="1" min="3" max="3"/>
    <col width="14" customWidth="1" min="4" max="4"/>
    <col width="9" customWidth="1" min="5" max="5"/>
    <col width="11" customWidth="1" min="6" max="6"/>
    <col width="12" customWidth="1" min="7" max="7"/>
    <col width="7" customWidth="1" min="8" max="8"/>
    <col width="11" customWidth="1" min="9" max="9"/>
    <col width="11" customWidth="1" min="10" max="10"/>
    <col width="11" customWidth="1" min="11" max="11"/>
    <col width="8" customWidth="1" min="12" max="12"/>
    <col width="13" customWidth="1" min="13" max="13"/>
    <col width="6" customWidth="1" min="14" max="14"/>
    <col width="10" customWidth="1" min="15" max="15"/>
    <col width="10" customWidth="1" min="16" max="16"/>
    <col width="10" customWidth="1" min="17" max="17"/>
    <col width="10" customWidth="1" min="18" max="18"/>
    <col width="44" customWidth="1" min="19" max="19"/>
    <col width="32" customWidth="1" min="20" max="20"/>
    <col width="28" customWidth="1" min="21" max="21"/>
    <col hidden="1" width="18" customWidth="1" min="22" max="22"/>
    <col hidden="1" width="18" customWidth="1" min="23" max="23"/>
    <col hidden="1" width="18" customWidth="1" min="24" max="24"/>
    <col hidden="1" width="18" customWidth="1" min="25" max="25"/>
    <col hidden="1" width="18" customWidth="1" min="26" max="26"/>
    <col hidden="1" width="18" customWidth="1" min="27" max="27"/>
  </cols>
  <sheetData>
    <row r="1" ht="38" customHeight="1">
      <c r="A1" s="1" t="inlineStr">
        <is>
          <t>📋 משימות — מקור האמת של הפרויקט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20" customHeight="1">
      <c r="A2" s="3" t="inlineStr">
        <is>
          <t>עמודות צהובות = לעדכון ידני (סטטוס, עדיפות, % ידני, תאריכים) · ⚡ = מחושב אוטומטית לפי תרחיש ותאריך היום · שורות ריקות בתחתית להוספת משימות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101" t="inlineStr">
        <is>
          <t>מקרא:</t>
        </is>
      </c>
      <c r="B3" s="94" t="inlineStr">
        <is>
          <t>לא התחיל</t>
        </is>
      </c>
      <c r="C3" s="95" t="inlineStr">
        <is>
          <t>בתהליך</t>
        </is>
      </c>
      <c r="D3" s="96" t="inlineStr">
        <is>
          <t>ממתין</t>
        </is>
      </c>
      <c r="E3" s="97" t="inlineStr">
        <is>
          <t>תקוע</t>
        </is>
      </c>
      <c r="F3" s="98" t="inlineStr">
        <is>
          <t>באיחור</t>
        </is>
      </c>
      <c r="G3" s="99" t="inlineStr">
        <is>
          <t>הושלם</t>
        </is>
      </c>
      <c r="H3" s="100" t="inlineStr">
        <is>
          <t>בוטל</t>
        </is>
      </c>
    </row>
    <row r="4" ht="30" customHeight="1">
      <c r="A4" s="75" t="inlineStr">
        <is>
          <t>ID</t>
        </is>
      </c>
      <c r="B4" s="75" t="inlineStr">
        <is>
          <t>שלב</t>
        </is>
      </c>
      <c r="C4" s="75" t="inlineStr">
        <is>
          <t>משימה</t>
        </is>
      </c>
      <c r="D4" s="102" t="inlineStr">
        <is>
          <t>אחראי</t>
        </is>
      </c>
      <c r="E4" s="102" t="inlineStr">
        <is>
          <t>עדיפות</t>
        </is>
      </c>
      <c r="F4" s="102" t="inlineStr">
        <is>
          <t>סטטוס</t>
        </is>
      </c>
      <c r="G4" s="4" t="inlineStr">
        <is>
          <t>⚡ מצב מחושב</t>
        </is>
      </c>
      <c r="H4" s="102" t="inlineStr">
        <is>
          <t>% ידני</t>
        </is>
      </c>
      <c r="I4" s="4" t="inlineStr">
        <is>
          <t>📈 התקדמות</t>
        </is>
      </c>
      <c r="J4" s="4" t="inlineStr">
        <is>
          <t>▶ התחלה (פעיל)</t>
        </is>
      </c>
      <c r="K4" s="4" t="inlineStr">
        <is>
          <t>🎯 יעד (פעיל)</t>
        </is>
      </c>
      <c r="L4" s="4" t="inlineStr">
        <is>
          <t>⏳ ימים ליעד</t>
        </is>
      </c>
      <c r="M4" s="75" t="inlineStr">
        <is>
          <t>תלויות</t>
        </is>
      </c>
      <c r="N4" s="75" t="inlineStr">
        <is>
          <t>Mode</t>
        </is>
      </c>
      <c r="O4" s="75" t="inlineStr">
        <is>
          <t>התחלה (מוקדם)</t>
        </is>
      </c>
      <c r="P4" s="75" t="inlineStr">
        <is>
          <t>יעד (מוקדם)</t>
        </is>
      </c>
      <c r="Q4" s="75" t="inlineStr">
        <is>
          <t>התחלה (מאוחר)</t>
        </is>
      </c>
      <c r="R4" s="75" t="inlineStr">
        <is>
          <t>יעד (מאוחר)</t>
        </is>
      </c>
      <c r="S4" s="75" t="inlineStr">
        <is>
          <t>תיאור</t>
        </is>
      </c>
      <c r="T4" s="75" t="inlineStr">
        <is>
          <t>מידע/מסמכים נדרשים</t>
        </is>
      </c>
      <c r="U4" s="75" t="inlineStr">
        <is>
          <t>הערות / הנחות</t>
        </is>
      </c>
      <c r="V4" s="103" t="inlineStr">
        <is>
          <t>_up</t>
        </is>
      </c>
      <c r="W4" s="103" t="inlineStr">
        <is>
          <t>_kan</t>
        </is>
      </c>
      <c r="X4" s="103" t="inlineStr">
        <is>
          <t>_ariel</t>
        </is>
      </c>
      <c r="Y4" s="103" t="inlineStr">
        <is>
          <t>_rinat</t>
        </is>
      </c>
      <c r="Z4" s="103" t="inlineStr">
        <is>
          <t>_tamar</t>
        </is>
      </c>
      <c r="AA4" s="103" t="inlineStr">
        <is>
          <t>_other</t>
        </is>
      </c>
    </row>
    <row r="5">
      <c r="A5" s="104" t="inlineStr">
        <is>
          <t>T-001</t>
        </is>
      </c>
      <c r="B5" s="105" t="inlineStr">
        <is>
          <t>0 איסוף מידע</t>
        </is>
      </c>
      <c r="C5" s="106" t="inlineStr">
        <is>
          <t>החלטת תקציב כולל + רזרבה</t>
        </is>
      </c>
      <c r="D5" s="105" t="inlineStr">
        <is>
          <t>אריאל+רינת</t>
        </is>
      </c>
      <c r="E5" s="107" t="inlineStr">
        <is>
          <t>גבוהה</t>
        </is>
      </c>
      <c r="F5" s="107" t="inlineStr">
        <is>
          <t>לא התחיל</t>
        </is>
      </c>
      <c r="G5" s="108">
        <f>IF($A5="","",IF(AND(F5&lt;&gt;"הושלם",F5&lt;&gt;"בוטל",K5&lt;&gt;"",K5&lt;Today_),"באיחור",IF(F5="","לא התחיל",F5)))</f>
        <v/>
      </c>
      <c r="H5" s="109" t="n"/>
      <c r="I5" s="110">
        <f>IF($A5="","",IF(H5&lt;&gt;"",H5,IF(F5="הושלם",1,IF(F5="בתהליך",0.5,IF(OR(F5="ממתין",F5="תקוע"),0.25,0)))))</f>
        <v/>
      </c>
      <c r="J5" s="111">
        <f>IF(OR($A5="",O5=""),"",IF(AND(N5="K",KeyActual&lt;&gt;""),O5+(KeyActual-KeyA),IF(Scenario="B",IF(Q5="",O5,Q5),O5)))</f>
        <v/>
      </c>
      <c r="K5" s="111">
        <f>IF(OR($A5="",P5=""),"",IF(AND(N5="K",KeyActual&lt;&gt;""),P5+(KeyActual-KeyA),IF(Scenario="B",IF(R5="",P5,R5),P5)))</f>
        <v/>
      </c>
      <c r="L5" s="112">
        <f>IF(OR($A5="",K5=""),"",IF(OR(F5="הושלם",F5="בוטל"),"",K5-Today_))</f>
        <v/>
      </c>
      <c r="M5" s="105" t="inlineStr">
        <is>
          <t>—</t>
        </is>
      </c>
      <c r="N5" s="108" t="inlineStr">
        <is>
          <t>F</t>
        </is>
      </c>
      <c r="O5" s="113" t="n">
        <v>46310</v>
      </c>
      <c r="P5" s="113" t="n">
        <v>46317</v>
      </c>
      <c r="Q5" s="113" t="n">
        <v>46310</v>
      </c>
      <c r="R5" s="113" t="n">
        <v>46317</v>
      </c>
      <c r="S5" s="105" t="inlineStr">
        <is>
          <t>לקבוע תקרת תקציב, רזרבה (המלצה 10–15%, הנחה) וסדר עדיפויות; החלטה #1</t>
        </is>
      </c>
      <c r="T5" s="105" t="inlineStr">
        <is>
          <t>מקורות מימון, משכנתא/הלוואה, תקציב גינה 20–50 אלף (לא אומת)</t>
        </is>
      </c>
      <c r="U5" s="105" t="inlineStr">
        <is>
          <t>Decision Log #1</t>
        </is>
      </c>
      <c r="V5" s="114">
        <f>IF(AND($A5&lt;&gt;"",F5&lt;&gt;"הושלם",F5&lt;&gt;"בוטל",J5&lt;&gt;""),IF(J5&lt;=Today_+14,IF(K5="",99999,K5)+ROW()/100000,""),"")</f>
        <v/>
      </c>
      <c r="W5" s="114">
        <f>IFERROR(IF($A5="","",CHOOSE(MATCH(G5,{"לא התחיל","בתהליך","ממתין","תקוע","באיחור","הושלם","בוטל"},0),1,2,3,3,4,5,6)*100000+IF(K5="",99999,K5)+ROW()/1000000),"")</f>
        <v/>
      </c>
      <c r="X5" s="114">
        <f>IF(AND($A5&lt;&gt;"",F5&lt;&gt;"הושלם",F5&lt;&gt;"בוטל",OR(ISNUMBER(SEARCH("אריאל",D5)),D5="כל המשפחה")),IF(K5="",99999,K5)+ROW()/100000,"")</f>
        <v/>
      </c>
      <c r="Y5" s="114">
        <f>IF(AND($A5&lt;&gt;"",F5&lt;&gt;"הושלם",F5&lt;&gt;"בוטל",OR(ISNUMBER(SEARCH("רינת",D5)),D5="כל המשפחה")),IF(K5="",99999,K5)+ROW()/100000,"")</f>
        <v/>
      </c>
      <c r="Z5" s="114">
        <f>IF(AND($A5&lt;&gt;"",F5&lt;&gt;"הושלם",F5&lt;&gt;"בוטל",OR(ISNUMBER(SEARCH("תמר",D5)))),IF(K5="",99999,K5)+ROW()/100000,"")</f>
        <v/>
      </c>
      <c r="AA5" s="114">
        <f>IF(AND($A5&lt;&gt;"",F5&lt;&gt;"הושלם",F5&lt;&gt;"בוטל",NOT(ISNUMBER(SEARCH("אריאל",D5))),NOT(ISNUMBER(SEARCH("רינת",D5))),NOT(ISNUMBER(SEARCH("תמר",D5))),D5&lt;&gt;"כל המשפחה"),IF(K5="",99999,K5)+ROW()/100000,"")</f>
        <v/>
      </c>
    </row>
    <row r="6">
      <c r="A6" s="104" t="inlineStr">
        <is>
          <t>T-002</t>
        </is>
      </c>
      <c r="B6" s="105" t="inlineStr">
        <is>
          <t>0 איסוף מידע</t>
        </is>
      </c>
      <c r="C6" s="106" t="inlineStr">
        <is>
          <t>הוחלט: גרים בבית בזמן העבודות (תרחיש A)</t>
        </is>
      </c>
      <c r="D6" s="105" t="inlineStr">
        <is>
          <t>אריאל+רינת</t>
        </is>
      </c>
      <c r="E6" s="107" t="inlineStr">
        <is>
          <t>גבוהה</t>
        </is>
      </c>
      <c r="F6" s="107" t="inlineStr">
        <is>
          <t>הושלם</t>
        </is>
      </c>
      <c r="G6" s="108">
        <f>IF($A6="","",IF(AND(F6&lt;&gt;"הושלם",F6&lt;&gt;"בוטל",K6&lt;&gt;"",K6&lt;Today_),"באיחור",IF(F6="","לא התחיל",F6)))</f>
        <v/>
      </c>
      <c r="H6" s="109" t="n"/>
      <c r="I6" s="110">
        <f>IF($A6="","",IF(H6&lt;&gt;"",H6,IF(F6="הושלם",1,IF(F6="בתהליך",0.5,IF(OR(F6="ממתין",F6="תקוע"),0.25,0)))))</f>
        <v/>
      </c>
      <c r="J6" s="111">
        <f>IF(OR($A6="",O6=""),"",IF(AND(N6="K",KeyActual&lt;&gt;""),O6+(KeyActual-KeyA),IF(Scenario="B",IF(Q6="",O6,Q6),O6)))</f>
        <v/>
      </c>
      <c r="K6" s="111">
        <f>IF(OR($A6="",P6=""),"",IF(AND(N6="K",KeyActual&lt;&gt;""),P6+(KeyActual-KeyA),IF(Scenario="B",IF(R6="",P6,R6),P6)))</f>
        <v/>
      </c>
      <c r="L6" s="112">
        <f>IF(OR($A6="",K6=""),"",IF(OR(F6="הושלם",F6="בוטל"),"",K6-Today_))</f>
        <v/>
      </c>
      <c r="M6" s="105" t="inlineStr">
        <is>
          <t>—</t>
        </is>
      </c>
      <c r="N6" s="108" t="inlineStr">
        <is>
          <t>F</t>
        </is>
      </c>
      <c r="O6" s="113" t="n">
        <v>46306</v>
      </c>
      <c r="P6" s="113" t="n">
        <v>46306</v>
      </c>
      <c r="Q6" s="113" t="n">
        <v>46306</v>
      </c>
      <c r="R6" s="113" t="n">
        <v>46306</v>
      </c>
      <c r="S6" s="105" t="inlineStr">
        <is>
          <t>החלטה #2 התקבלה 11.10: אם המפתח בתחילת דצמבר — נכנסים מיד ומשפצים בשלבים תוך מגורים</t>
        </is>
      </c>
      <c r="T6" s="105" t="n"/>
      <c r="U6" s="105" t="inlineStr">
        <is>
          <t>הושלם; תרחיש B = מגורי ביניים</t>
        </is>
      </c>
      <c r="V6" s="114">
        <f>IF(AND($A6&lt;&gt;"",F6&lt;&gt;"הושלם",F6&lt;&gt;"בוטל",J6&lt;&gt;""),IF(J6&lt;=Today_+14,IF(K6="",99999,K6)+ROW()/100000,""),"")</f>
        <v/>
      </c>
      <c r="W6" s="114">
        <f>IFERROR(IF($A6="","",CHOOSE(MATCH(G6,{"לא התחיל","בתהליך","ממתין","תקוע","באיחור","הושלם","בוטל"},0),1,2,3,3,4,5,6)*100000+IF(K6="",99999,K6)+ROW()/1000000),"")</f>
        <v/>
      </c>
      <c r="X6" s="114">
        <f>IF(AND($A6&lt;&gt;"",F6&lt;&gt;"הושלם",F6&lt;&gt;"בוטל",OR(ISNUMBER(SEARCH("אריאל",D6)),D6="כל המשפחה")),IF(K6="",99999,K6)+ROW()/100000,"")</f>
        <v/>
      </c>
      <c r="Y6" s="114">
        <f>IF(AND($A6&lt;&gt;"",F6&lt;&gt;"הושלם",F6&lt;&gt;"בוטל",OR(ISNUMBER(SEARCH("רינת",D6)),D6="כל המשפחה")),IF(K6="",99999,K6)+ROW()/100000,"")</f>
        <v/>
      </c>
      <c r="Z6" s="114">
        <f>IF(AND($A6&lt;&gt;"",F6&lt;&gt;"הושלם",F6&lt;&gt;"בוטל",OR(ISNUMBER(SEARCH("תמר",D6)))),IF(K6="",99999,K6)+ROW()/100000,"")</f>
        <v/>
      </c>
      <c r="AA6" s="114">
        <f>IF(AND($A6&lt;&gt;"",F6&lt;&gt;"הושלם",F6&lt;&gt;"בוטל",NOT(ISNUMBER(SEARCH("אריאל",D6))),NOT(ISNUMBER(SEARCH("רינת",D6))),NOT(ISNUMBER(SEARCH("תמר",D6))),D6&lt;&gt;"כל המשפחה"),IF(K6="",99999,K6)+ROW()/100000,"")</f>
        <v/>
      </c>
    </row>
    <row r="7">
      <c r="A7" s="104" t="inlineStr">
        <is>
          <t>T-003</t>
        </is>
      </c>
      <c r="B7" s="105" t="inlineStr">
        <is>
          <t>0 איסוף מידע</t>
        </is>
      </c>
      <c r="C7" s="106" t="inlineStr">
        <is>
          <t>איסוף תוכניות קבלן/קונסטרוקציה + שרטוטי חצר</t>
        </is>
      </c>
      <c r="D7" s="105" t="inlineStr">
        <is>
          <t>אריאל</t>
        </is>
      </c>
      <c r="E7" s="107" t="inlineStr">
        <is>
          <t>גבוהה</t>
        </is>
      </c>
      <c r="F7" s="107" t="inlineStr">
        <is>
          <t>בתהליך</t>
        </is>
      </c>
      <c r="G7" s="108">
        <f>IF($A7="","",IF(AND(F7&lt;&gt;"הושלם",F7&lt;&gt;"בוטל",K7&lt;&gt;"",K7&lt;Today_),"באיחור",IF(F7="","לא התחיל",F7)))</f>
        <v/>
      </c>
      <c r="H7" s="109" t="n"/>
      <c r="I7" s="110">
        <f>IF($A7="","",IF(H7&lt;&gt;"",H7,IF(F7="הושלם",1,IF(F7="בתהליך",0.5,IF(OR(F7="ממתין",F7="תקוע"),0.25,0)))))</f>
        <v/>
      </c>
      <c r="J7" s="111">
        <f>IF(OR($A7="",O7=""),"",IF(AND(N7="K",KeyActual&lt;&gt;""),O7+(KeyActual-KeyA),IF(Scenario="B",IF(Q7="",O7,Q7),O7)))</f>
        <v/>
      </c>
      <c r="K7" s="111">
        <f>IF(OR($A7="",P7=""),"",IF(AND(N7="K",KeyActual&lt;&gt;""),P7+(KeyActual-KeyA),IF(Scenario="B",IF(R7="",P7,R7),P7)))</f>
        <v/>
      </c>
      <c r="L7" s="112">
        <f>IF(OR($A7="",K7=""),"",IF(OR(F7="הושלם",F7="בוטל"),"",K7-Today_))</f>
        <v/>
      </c>
      <c r="M7" s="105" t="inlineStr">
        <is>
          <t>—</t>
        </is>
      </c>
      <c r="N7" s="108" t="inlineStr">
        <is>
          <t>F</t>
        </is>
      </c>
      <c r="O7" s="113" t="n">
        <v>46310</v>
      </c>
      <c r="P7" s="113" t="n">
        <v>46320</v>
      </c>
      <c r="Q7" s="113" t="n">
        <v>46310</v>
      </c>
      <c r="R7" s="113" t="n">
        <v>46320</v>
      </c>
      <c r="S7" s="105" t="inlineStr">
        <is>
          <t>להעלות לתיקיית source את תוכניות הקבלן, השרטוטים הצבעוניים והיתר קיים</t>
        </is>
      </c>
      <c r="T7" s="105" t="inlineStr">
        <is>
          <t>תוכניות, היתר בנייה קיים, חוזה רכישה</t>
        </is>
      </c>
      <c r="U7" s="105" t="inlineStr">
        <is>
          <t>חסר כרגע בתיקייה | 11.10: התקבלו מ-Drive תוכניות קבלן (דגם תמר), שינויי דיירים TAMAR 2024 ותכנית מגרש 823-3. עדיין חסרים: היתר + טבלת שטחים, חוזה, תצ"ר, שרטוטי חצר</t>
        </is>
      </c>
      <c r="V7" s="114">
        <f>IF(AND($A7&lt;&gt;"",F7&lt;&gt;"הושלם",F7&lt;&gt;"בוטל",J7&lt;&gt;""),IF(J7&lt;=Today_+14,IF(K7="",99999,K7)+ROW()/100000,""),"")</f>
        <v/>
      </c>
      <c r="W7" s="114">
        <f>IFERROR(IF($A7="","",CHOOSE(MATCH(G7,{"לא התחיל","בתהליך","ממתין","תקוע","באיחור","הושלם","בוטל"},0),1,2,3,3,4,5,6)*100000+IF(K7="",99999,K7)+ROW()/1000000),"")</f>
        <v/>
      </c>
      <c r="X7" s="114">
        <f>IF(AND($A7&lt;&gt;"",F7&lt;&gt;"הושלם",F7&lt;&gt;"בוטל",OR(ISNUMBER(SEARCH("אריאל",D7)),D7="כל המשפחה")),IF(K7="",99999,K7)+ROW()/100000,"")</f>
        <v/>
      </c>
      <c r="Y7" s="114">
        <f>IF(AND($A7&lt;&gt;"",F7&lt;&gt;"הושלם",F7&lt;&gt;"בוטל",OR(ISNUMBER(SEARCH("רינת",D7)),D7="כל המשפחה")),IF(K7="",99999,K7)+ROW()/100000,"")</f>
        <v/>
      </c>
      <c r="Z7" s="114">
        <f>IF(AND($A7&lt;&gt;"",F7&lt;&gt;"הושלם",F7&lt;&gt;"בוטל",OR(ISNUMBER(SEARCH("תמר",D7)))),IF(K7="",99999,K7)+ROW()/100000,"")</f>
        <v/>
      </c>
      <c r="AA7" s="114">
        <f>IF(AND($A7&lt;&gt;"",F7&lt;&gt;"הושלם",F7&lt;&gt;"בוטל",NOT(ISNUMBER(SEARCH("אריאל",D7))),NOT(ISNUMBER(SEARCH("רינת",D7))),NOT(ISNUMBER(SEARCH("תמר",D7))),D7&lt;&gt;"כל המשפחה"),IF(K7="",99999,K7)+ROW()/100000,"")</f>
        <v/>
      </c>
    </row>
    <row r="8">
      <c r="A8" s="104" t="inlineStr">
        <is>
          <t>T-004</t>
        </is>
      </c>
      <c r="B8" s="105" t="inlineStr">
        <is>
          <t>0 איסוף מידע</t>
        </is>
      </c>
      <c r="C8" s="106" t="inlineStr">
        <is>
          <t>תיאום מועד מסירת מפתח</t>
        </is>
      </c>
      <c r="D8" s="105" t="inlineStr">
        <is>
          <t>אריאל</t>
        </is>
      </c>
      <c r="E8" s="107" t="inlineStr">
        <is>
          <t>גבוהה</t>
        </is>
      </c>
      <c r="F8" s="107" t="inlineStr">
        <is>
          <t>לא התחיל</t>
        </is>
      </c>
      <c r="G8" s="108">
        <f>IF($A8="","",IF(AND(F8&lt;&gt;"הושלם",F8&lt;&gt;"בוטל",K8&lt;&gt;"",K8&lt;Today_),"באיחור",IF(F8="","לא התחיל",F8)))</f>
        <v/>
      </c>
      <c r="H8" s="109" t="n"/>
      <c r="I8" s="110">
        <f>IF($A8="","",IF(H8&lt;&gt;"",H8,IF(F8="הושלם",1,IF(F8="בתהליך",0.5,IF(OR(F8="ממתין",F8="תקוע"),0.25,0)))))</f>
        <v/>
      </c>
      <c r="J8" s="111">
        <f>IF(OR($A8="",O8=""),"",IF(AND(N8="K",KeyActual&lt;&gt;""),O8+(KeyActual-KeyA),IF(Scenario="B",IF(Q8="",O8,Q8),O8)))</f>
        <v/>
      </c>
      <c r="K8" s="111">
        <f>IF(OR($A8="",P8=""),"",IF(AND(N8="K",KeyActual&lt;&gt;""),P8+(KeyActual-KeyA),IF(Scenario="B",IF(R8="",P8,R8),P8)))</f>
        <v/>
      </c>
      <c r="L8" s="112">
        <f>IF(OR($A8="",K8=""),"",IF(OR(F8="הושלם",F8="בוטל"),"",K8-Today_))</f>
        <v/>
      </c>
      <c r="M8" s="105" t="inlineStr">
        <is>
          <t>—</t>
        </is>
      </c>
      <c r="N8" s="108" t="inlineStr">
        <is>
          <t>F</t>
        </is>
      </c>
      <c r="O8" s="113" t="n">
        <v>46313</v>
      </c>
      <c r="P8" s="113" t="n">
        <v>46325</v>
      </c>
      <c r="Q8" s="113" t="n">
        <v>46313</v>
      </c>
      <c r="R8" s="113" t="n">
        <v>46325</v>
      </c>
      <c r="S8" s="105" t="inlineStr">
        <is>
          <t>לברר מול המוכר/יזם מועד מסירה מדויק (טווח 1.12–5.1) ותנאי גישה לפני מסירה (מדידות/הצעות מחיר)</t>
        </is>
      </c>
      <c r="T8" s="105" t="inlineStr">
        <is>
          <t>חוזה רכישה, איש קשר מוכר</t>
        </is>
      </c>
      <c r="U8" s="105" t="inlineStr">
        <is>
          <t>מועד המפתח = עוגן לכל התוכנית | 11.10: במסמכי Drive אין תאריך מסירה (מפרט המכר הוא נוסח לדוגמה למגרש 822, לא חתום) | 11.10(2): הקובץ המצורף החדש = כפילות של תכנית אינסטלציה; עדיין אין תאריך מסירה במסמכים</t>
        </is>
      </c>
      <c r="V8" s="114">
        <f>IF(AND($A8&lt;&gt;"",F8&lt;&gt;"הושלם",F8&lt;&gt;"בוטל",J8&lt;&gt;""),IF(J8&lt;=Today_+14,IF(K8="",99999,K8)+ROW()/100000,""),"")</f>
        <v/>
      </c>
      <c r="W8" s="114">
        <f>IFERROR(IF($A8="","",CHOOSE(MATCH(G8,{"לא התחיל","בתהליך","ממתין","תקוע","באיחור","הושלם","בוטל"},0),1,2,3,3,4,5,6)*100000+IF(K8="",99999,K8)+ROW()/1000000),"")</f>
        <v/>
      </c>
      <c r="X8" s="114">
        <f>IF(AND($A8&lt;&gt;"",F8&lt;&gt;"הושלם",F8&lt;&gt;"בוטל",OR(ISNUMBER(SEARCH("אריאל",D8)),D8="כל המשפחה")),IF(K8="",99999,K8)+ROW()/100000,"")</f>
        <v/>
      </c>
      <c r="Y8" s="114">
        <f>IF(AND($A8&lt;&gt;"",F8&lt;&gt;"הושלם",F8&lt;&gt;"בוטל",OR(ISNUMBER(SEARCH("רינת",D8)),D8="כל המשפחה")),IF(K8="",99999,K8)+ROW()/100000,"")</f>
        <v/>
      </c>
      <c r="Z8" s="114">
        <f>IF(AND($A8&lt;&gt;"",F8&lt;&gt;"הושלם",F8&lt;&gt;"בוטל",OR(ISNUMBER(SEARCH("תמר",D8)))),IF(K8="",99999,K8)+ROW()/100000,"")</f>
        <v/>
      </c>
      <c r="AA8" s="114">
        <f>IF(AND($A8&lt;&gt;"",F8&lt;&gt;"הושלם",F8&lt;&gt;"בוטל",NOT(ISNUMBER(SEARCH("אריאל",D8))),NOT(ISNUMBER(SEARCH("רינת",D8))),NOT(ISNUMBER(SEARCH("תמר",D8))),D8&lt;&gt;"כל המשפחה"),IF(K8="",99999,K8)+ROW()/100000,"")</f>
        <v/>
      </c>
    </row>
    <row r="9">
      <c r="A9" s="104" t="inlineStr">
        <is>
          <t>T-005</t>
        </is>
      </c>
      <c r="B9" s="105" t="inlineStr">
        <is>
          <t>0 איסוף מידע</t>
        </is>
      </c>
      <c r="C9" s="106" t="inlineStr">
        <is>
          <t>מדידות משלימות</t>
        </is>
      </c>
      <c r="D9" s="105" t="inlineStr">
        <is>
          <t>אריאל/רינת</t>
        </is>
      </c>
      <c r="E9" s="107" t="inlineStr">
        <is>
          <t>בינונית</t>
        </is>
      </c>
      <c r="F9" s="107" t="inlineStr">
        <is>
          <t>לא התחיל</t>
        </is>
      </c>
      <c r="G9" s="108">
        <f>IF($A9="","",IF(AND(F9&lt;&gt;"הושלם",F9&lt;&gt;"בוטל",K9&lt;&gt;"",K9&lt;Today_),"באיחור",IF(F9="","לא התחיל",F9)))</f>
        <v/>
      </c>
      <c r="H9" s="109" t="n"/>
      <c r="I9" s="110">
        <f>IF($A9="","",IF(H9&lt;&gt;"",H9,IF(F9="הושלם",1,IF(F9="בתהליך",0.5,IF(OR(F9="ממתין",F9="תקוע"),0.25,0)))))</f>
        <v/>
      </c>
      <c r="J9" s="111">
        <f>IF(OR($A9="",O9=""),"",IF(AND(N9="K",KeyActual&lt;&gt;""),O9+(KeyActual-KeyA),IF(Scenario="B",IF(Q9="",O9,Q9),O9)))</f>
        <v/>
      </c>
      <c r="K9" s="111">
        <f>IF(OR($A9="",P9=""),"",IF(AND(N9="K",KeyActual&lt;&gt;""),P9+(KeyActual-KeyA),IF(Scenario="B",IF(R9="",P9,R9),P9)))</f>
        <v/>
      </c>
      <c r="L9" s="112">
        <f>IF(OR($A9="",K9=""),"",IF(OR(F9="הושלם",F9="בוטל"),"",K9-Today_))</f>
        <v/>
      </c>
      <c r="M9" s="105" t="inlineStr">
        <is>
          <t>T-004</t>
        </is>
      </c>
      <c r="N9" s="108" t="inlineStr">
        <is>
          <t>F</t>
        </is>
      </c>
      <c r="O9" s="113" t="n">
        <v>46318</v>
      </c>
      <c r="P9" s="113" t="n">
        <v>46341</v>
      </c>
      <c r="Q9" s="113" t="n">
        <v>46318</v>
      </c>
      <c r="R9" s="113" t="n">
        <v>46341</v>
      </c>
      <c r="S9" s="105" t="inlineStr">
        <is>
          <t>אורך פינת אוכל, חדר אורחים, מזווה, חדרי ילדים, מקום מקרר ראשי, חדרים למזגנים</t>
        </is>
      </c>
      <c r="T9" s="105" t="inlineStr">
        <is>
          <t>מטר לייזר, תוכניות; לציין מקור לכל מידה</t>
        </is>
      </c>
      <c r="U9" s="105" t="inlineStr">
        <is>
          <t>תלוי בגישה לבית לפני מסירה</t>
        </is>
      </c>
      <c r="V9" s="114">
        <f>IF(AND($A9&lt;&gt;"",F9&lt;&gt;"הושלם",F9&lt;&gt;"בוטל",J9&lt;&gt;""),IF(J9&lt;=Today_+14,IF(K9="",99999,K9)+ROW()/100000,""),"")</f>
        <v/>
      </c>
      <c r="W9" s="114">
        <f>IFERROR(IF($A9="","",CHOOSE(MATCH(G9,{"לא התחיל","בתהליך","ממתין","תקוע","באיחור","הושלם","בוטל"},0),1,2,3,3,4,5,6)*100000+IF(K9="",99999,K9)+ROW()/1000000),"")</f>
        <v/>
      </c>
      <c r="X9" s="114">
        <f>IF(AND($A9&lt;&gt;"",F9&lt;&gt;"הושלם",F9&lt;&gt;"בוטל",OR(ISNUMBER(SEARCH("אריאל",D9)),D9="כל המשפחה")),IF(K9="",99999,K9)+ROW()/100000,"")</f>
        <v/>
      </c>
      <c r="Y9" s="114">
        <f>IF(AND($A9&lt;&gt;"",F9&lt;&gt;"הושלם",F9&lt;&gt;"בוטל",OR(ISNUMBER(SEARCH("רינת",D9)),D9="כל המשפחה")),IF(K9="",99999,K9)+ROW()/100000,"")</f>
        <v/>
      </c>
      <c r="Z9" s="114">
        <f>IF(AND($A9&lt;&gt;"",F9&lt;&gt;"הושלם",F9&lt;&gt;"בוטל",OR(ISNUMBER(SEARCH("תמר",D9)))),IF(K9="",99999,K9)+ROW()/100000,"")</f>
        <v/>
      </c>
      <c r="AA9" s="114">
        <f>IF(AND($A9&lt;&gt;"",F9&lt;&gt;"הושלם",F9&lt;&gt;"בוטל",NOT(ISNUMBER(SEARCH("אריאל",D9))),NOT(ISNUMBER(SEARCH("רינת",D9))),NOT(ISNUMBER(SEARCH("תמר",D9))),D9&lt;&gt;"כל המשפחה"),IF(K9="",99999,K9)+ROW()/100000,"")</f>
        <v/>
      </c>
    </row>
    <row r="10">
      <c r="A10" s="104" t="inlineStr">
        <is>
          <t>T-010</t>
        </is>
      </c>
      <c r="B10" s="105" t="inlineStr">
        <is>
          <t>1 היתכנות</t>
        </is>
      </c>
      <c r="C10" s="106" t="inlineStr">
        <is>
          <t>בחירת אנשי מקצוע: אדריכל רישוי / מהנדס / מודד</t>
        </is>
      </c>
      <c r="D10" s="105" t="inlineStr">
        <is>
          <t>אריאל</t>
        </is>
      </c>
      <c r="E10" s="107" t="inlineStr">
        <is>
          <t>גבוהה</t>
        </is>
      </c>
      <c r="F10" s="107" t="inlineStr">
        <is>
          <t>לא התחיל</t>
        </is>
      </c>
      <c r="G10" s="108">
        <f>IF($A10="","",IF(AND(F10&lt;&gt;"הושלם",F10&lt;&gt;"בוטל",K10&lt;&gt;"",K10&lt;Today_),"באיחור",IF(F10="","לא התחיל",F10)))</f>
        <v/>
      </c>
      <c r="H10" s="109" t="n"/>
      <c r="I10" s="110">
        <f>IF($A10="","",IF(H10&lt;&gt;"",H10,IF(F10="הושלם",1,IF(F10="בתהליך",0.5,IF(OR(F10="ממתין",F10="תקוע"),0.25,0)))))</f>
        <v/>
      </c>
      <c r="J10" s="111">
        <f>IF(OR($A10="",O10=""),"",IF(AND(N10="K",KeyActual&lt;&gt;""),O10+(KeyActual-KeyA),IF(Scenario="B",IF(Q10="",O10,Q10),O10)))</f>
        <v/>
      </c>
      <c r="K10" s="111">
        <f>IF(OR($A10="",P10=""),"",IF(AND(N10="K",KeyActual&lt;&gt;""),P10+(KeyActual-KeyA),IF(Scenario="B",IF(R10="",P10,R10),P10)))</f>
        <v/>
      </c>
      <c r="L10" s="112">
        <f>IF(OR($A10="",K10=""),"",IF(OR(F10="הושלם",F10="בוטל"),"",K10-Today_))</f>
        <v/>
      </c>
      <c r="M10" s="105" t="inlineStr">
        <is>
          <t>T-001</t>
        </is>
      </c>
      <c r="N10" s="108" t="inlineStr">
        <is>
          <t>F</t>
        </is>
      </c>
      <c r="O10" s="113" t="n">
        <v>46318</v>
      </c>
      <c r="P10" s="113" t="n">
        <v>46334</v>
      </c>
      <c r="Q10" s="113" t="n">
        <v>46318</v>
      </c>
      <c r="R10" s="113" t="n">
        <v>46334</v>
      </c>
      <c r="S10" s="105" t="inlineStr">
        <is>
          <t>3 הצעות לכל אחד; החלטה #3</t>
        </is>
      </c>
      <c r="T10" s="105" t="inlineStr">
        <is>
          <t>תיאור היקף, תוכניות, תב"ע 7001686</t>
        </is>
      </c>
      <c r="U10" s="105" t="inlineStr">
        <is>
          <t>לא לפנות לספק ללא אישור אריאל</t>
        </is>
      </c>
      <c r="V10" s="114">
        <f>IF(AND($A10&lt;&gt;"",F10&lt;&gt;"הושלם",F10&lt;&gt;"בוטל",J10&lt;&gt;""),IF(J10&lt;=Today_+14,IF(K10="",99999,K10)+ROW()/100000,""),"")</f>
        <v/>
      </c>
      <c r="W10" s="114">
        <f>IFERROR(IF($A10="","",CHOOSE(MATCH(G10,{"לא התחיל","בתהליך","ממתין","תקוע","באיחור","הושלם","בוטל"},0),1,2,3,3,4,5,6)*100000+IF(K10="",99999,K10)+ROW()/1000000),"")</f>
        <v/>
      </c>
      <c r="X10" s="114">
        <f>IF(AND($A10&lt;&gt;"",F10&lt;&gt;"הושלם",F10&lt;&gt;"בוטל",OR(ISNUMBER(SEARCH("אריאל",D10)),D10="כל המשפחה")),IF(K10="",99999,K10)+ROW()/100000,"")</f>
        <v/>
      </c>
      <c r="Y10" s="114">
        <f>IF(AND($A10&lt;&gt;"",F10&lt;&gt;"הושלם",F10&lt;&gt;"בוטל",OR(ISNUMBER(SEARCH("רינת",D10)),D10="כל המשפחה")),IF(K10="",99999,K10)+ROW()/100000,"")</f>
        <v/>
      </c>
      <c r="Z10" s="114">
        <f>IF(AND($A10&lt;&gt;"",F10&lt;&gt;"הושלם",F10&lt;&gt;"בוטל",OR(ISNUMBER(SEARCH("תמר",D10)))),IF(K10="",99999,K10)+ROW()/100000,"")</f>
        <v/>
      </c>
      <c r="AA10" s="114">
        <f>IF(AND($A10&lt;&gt;"",F10&lt;&gt;"הושלם",F10&lt;&gt;"בוטל",NOT(ISNUMBER(SEARCH("אריאל",D10))),NOT(ISNUMBER(SEARCH("רינת",D10))),NOT(ISNUMBER(SEARCH("תמר",D10))),D10&lt;&gt;"כל המשפחה"),IF(K10="",99999,K10)+ROW()/100000,"")</f>
        <v/>
      </c>
    </row>
    <row r="11">
      <c r="A11" s="104" t="inlineStr">
        <is>
          <t>T-011</t>
        </is>
      </c>
      <c r="B11" s="105" t="inlineStr">
        <is>
          <t>1 היתכנות</t>
        </is>
      </c>
      <c r="C11" s="106" t="inlineStr">
        <is>
          <t>מודד: מפת מדידה + גבולות 823/3</t>
        </is>
      </c>
      <c r="D11" s="105" t="inlineStr">
        <is>
          <t>מודד</t>
        </is>
      </c>
      <c r="E11" s="107" t="inlineStr">
        <is>
          <t>גבוהה</t>
        </is>
      </c>
      <c r="F11" s="107" t="inlineStr">
        <is>
          <t>לא התחיל</t>
        </is>
      </c>
      <c r="G11" s="108">
        <f>IF($A11="","",IF(AND(F11&lt;&gt;"הושלם",F11&lt;&gt;"בוטל",K11&lt;&gt;"",K11&lt;Today_),"באיחור",IF(F11="","לא התחיל",F11)))</f>
        <v/>
      </c>
      <c r="H11" s="109" t="n"/>
      <c r="I11" s="110">
        <f>IF($A11="","",IF(H11&lt;&gt;"",H11,IF(F11="הושלם",1,IF(F11="בתהליך",0.5,IF(OR(F11="ממתין",F11="תקוע"),0.25,0)))))</f>
        <v/>
      </c>
      <c r="J11" s="111">
        <f>IF(OR($A11="",O11=""),"",IF(AND(N11="K",KeyActual&lt;&gt;""),O11+(KeyActual-KeyA),IF(Scenario="B",IF(Q11="",O11,Q11),O11)))</f>
        <v/>
      </c>
      <c r="K11" s="111">
        <f>IF(OR($A11="",P11=""),"",IF(AND(N11="K",KeyActual&lt;&gt;""),P11+(KeyActual-KeyA),IF(Scenario="B",IF(R11="",P11,R11),P11)))</f>
        <v/>
      </c>
      <c r="L11" s="112">
        <f>IF(OR($A11="",K11=""),"",IF(OR(F11="הושלם",F11="בוטל"),"",K11-Today_))</f>
        <v/>
      </c>
      <c r="M11" s="105" t="inlineStr">
        <is>
          <t>T-010</t>
        </is>
      </c>
      <c r="N11" s="108" t="inlineStr">
        <is>
          <t>F</t>
        </is>
      </c>
      <c r="O11" s="113" t="n">
        <v>46334</v>
      </c>
      <c r="P11" s="113" t="n">
        <v>46356</v>
      </c>
      <c r="Q11" s="113" t="n">
        <v>46334</v>
      </c>
      <c r="R11" s="113" t="n">
        <v>46356</v>
      </c>
      <c r="S11" s="105" t="inlineStr">
        <is>
          <t>מפת מדידה עדכנית 1:250 (נדרשת להיתר לפי ה'2); החלטה #4</t>
        </is>
      </c>
      <c r="T11" s="105" t="inlineStr">
        <is>
          <t>נסח/תצ"ר, תכנית חלוקה 823/1-3</t>
        </is>
      </c>
      <c r="U11" s="105" t="inlineStr">
        <is>
          <t>פותר את סתירת 528 מ"ר / 0.5 דונם</t>
        </is>
      </c>
      <c r="V11" s="114">
        <f>IF(AND($A11&lt;&gt;"",F11&lt;&gt;"הושלם",F11&lt;&gt;"בוטל",J11&lt;&gt;""),IF(J11&lt;=Today_+14,IF(K11="",99999,K11)+ROW()/100000,""),"")</f>
        <v/>
      </c>
      <c r="W11" s="114">
        <f>IFERROR(IF($A11="","",CHOOSE(MATCH(G11,{"לא התחיל","בתהליך","ממתין","תקוע","באיחור","הושלם","בוטל"},0),1,2,3,3,4,5,6)*100000+IF(K11="",99999,K11)+ROW()/1000000),"")</f>
        <v/>
      </c>
      <c r="X11" s="114">
        <f>IF(AND($A11&lt;&gt;"",F11&lt;&gt;"הושלם",F11&lt;&gt;"בוטל",OR(ISNUMBER(SEARCH("אריאל",D11)),D11="כל המשפחה")),IF(K11="",99999,K11)+ROW()/100000,"")</f>
        <v/>
      </c>
      <c r="Y11" s="114">
        <f>IF(AND($A11&lt;&gt;"",F11&lt;&gt;"הושלם",F11&lt;&gt;"בוטל",OR(ISNUMBER(SEARCH("רינת",D11)),D11="כל המשפחה")),IF(K11="",99999,K11)+ROW()/100000,"")</f>
        <v/>
      </c>
      <c r="Z11" s="114">
        <f>IF(AND($A11&lt;&gt;"",F11&lt;&gt;"הושלם",F11&lt;&gt;"בוטל",OR(ISNUMBER(SEARCH("תמר",D11)))),IF(K11="",99999,K11)+ROW()/100000,"")</f>
        <v/>
      </c>
      <c r="AA11" s="114">
        <f>IF(AND($A11&lt;&gt;"",F11&lt;&gt;"הושלם",F11&lt;&gt;"בוטל",NOT(ISNUMBER(SEARCH("אריאל",D11))),NOT(ISNUMBER(SEARCH("רינת",D11))),NOT(ISNUMBER(SEARCH("תמר",D11))),D11&lt;&gt;"כל המשפחה"),IF(K11="",99999,K11)+ROW()/100000,"")</f>
        <v/>
      </c>
    </row>
    <row r="12">
      <c r="A12" s="104" t="inlineStr">
        <is>
          <t>T-012</t>
        </is>
      </c>
      <c r="B12" s="105" t="inlineStr">
        <is>
          <t>1 היתכנות</t>
        </is>
      </c>
      <c r="C12" s="106" t="inlineStr">
        <is>
          <t>בירור בוועדה (מטה בנימין): זכויות 823/3, קליניקה, מחסן, מרפסת</t>
        </is>
      </c>
      <c r="D12" s="105" t="inlineStr">
        <is>
          <t>אדריכל/אריאל</t>
        </is>
      </c>
      <c r="E12" s="107" t="inlineStr">
        <is>
          <t>גבוהה</t>
        </is>
      </c>
      <c r="F12" s="107" t="inlineStr">
        <is>
          <t>לא התחיל</t>
        </is>
      </c>
      <c r="G12" s="108">
        <f>IF($A12="","",IF(AND(F12&lt;&gt;"הושלם",F12&lt;&gt;"בוטל",K12&lt;&gt;"",K12&lt;Today_),"באיחור",IF(F12="","לא התחיל",F12)))</f>
        <v/>
      </c>
      <c r="H12" s="109" t="n"/>
      <c r="I12" s="110">
        <f>IF($A12="","",IF(H12&lt;&gt;"",H12,IF(F12="הושלם",1,IF(F12="בתהליך",0.5,IF(OR(F12="ממתין",F12="תקוע"),0.25,0)))))</f>
        <v/>
      </c>
      <c r="J12" s="111">
        <f>IF(OR($A12="",O12=""),"",IF(AND(N12="K",KeyActual&lt;&gt;""),O12+(KeyActual-KeyA),IF(Scenario="B",IF(Q12="",O12,Q12),O12)))</f>
        <v/>
      </c>
      <c r="K12" s="111">
        <f>IF(OR($A12="",P12=""),"",IF(AND(N12="K",KeyActual&lt;&gt;""),P12+(KeyActual-KeyA),IF(Scenario="B",IF(R12="",P12,R12),P12)))</f>
        <v/>
      </c>
      <c r="L12" s="112">
        <f>IF(OR($A12="",K12=""),"",IF(OR(F12="הושלם",F12="בוטל"),"",K12-Today_))</f>
        <v/>
      </c>
      <c r="M12" s="105" t="inlineStr">
        <is>
          <t>T-010</t>
        </is>
      </c>
      <c r="N12" s="108" t="inlineStr">
        <is>
          <t>F</t>
        </is>
      </c>
      <c r="O12" s="113" t="n">
        <v>46327</v>
      </c>
      <c r="P12" s="113" t="n">
        <v>46356</v>
      </c>
      <c r="Q12" s="113" t="n">
        <v>46327</v>
      </c>
      <c r="R12" s="113" t="n">
        <v>46356</v>
      </c>
      <c r="S12" s="105" t="inlineStr">
        <is>
          <t>שאלות: חלוקת 6 יח"ד, קו בניין 3 מ', קליניקה (תב"ע: מגורים בלבד), סגירת פרגולה אסורה (4.6ז), גדר עד 1.5 מ'; החלטה #5</t>
        </is>
      </c>
      <c r="T12" s="105" t="inlineStr">
        <is>
          <t>zoning_taba_7001686.md, היתר קיים, תכנית בינוי; היתר 823/3 + טבלת שטחים (דגם "200 מ"ר" מול 190 עיקרי)</t>
        </is>
      </c>
      <c r="U12" s="105" t="inlineStr">
        <is>
          <t>ממצאי התב"ע — קריאה חזותית, לאמת | 11.10(2): הורביץ בצפון → גבול צד, קו בניין 3 מ'. ראו permit_classification.md</t>
        </is>
      </c>
      <c r="V12" s="114">
        <f>IF(AND($A12&lt;&gt;"",F12&lt;&gt;"הושלם",F12&lt;&gt;"בוטל",J12&lt;&gt;""),IF(J12&lt;=Today_+14,IF(K12="",99999,K12)+ROW()/100000,""),"")</f>
        <v/>
      </c>
      <c r="W12" s="114">
        <f>IFERROR(IF($A12="","",CHOOSE(MATCH(G12,{"לא התחיל","בתהליך","ממתין","תקוע","באיחור","הושלם","בוטל"},0),1,2,3,3,4,5,6)*100000+IF(K12="",99999,K12)+ROW()/1000000),"")</f>
        <v/>
      </c>
      <c r="X12" s="114">
        <f>IF(AND($A12&lt;&gt;"",F12&lt;&gt;"הושלם",F12&lt;&gt;"בוטל",OR(ISNUMBER(SEARCH("אריאל",D12)),D12="כל המשפחה")),IF(K12="",99999,K12)+ROW()/100000,"")</f>
        <v/>
      </c>
      <c r="Y12" s="114">
        <f>IF(AND($A12&lt;&gt;"",F12&lt;&gt;"הושלם",F12&lt;&gt;"בוטל",OR(ISNUMBER(SEARCH("רינת",D12)),D12="כל המשפחה")),IF(K12="",99999,K12)+ROW()/100000,"")</f>
        <v/>
      </c>
      <c r="Z12" s="114">
        <f>IF(AND($A12&lt;&gt;"",F12&lt;&gt;"הושלם",F12&lt;&gt;"בוטל",OR(ISNUMBER(SEARCH("תמר",D12)))),IF(K12="",99999,K12)+ROW()/100000,"")</f>
        <v/>
      </c>
      <c r="AA12" s="114">
        <f>IF(AND($A12&lt;&gt;"",F12&lt;&gt;"הושלם",F12&lt;&gt;"בוטל",NOT(ISNUMBER(SEARCH("אריאל",D12))),NOT(ISNUMBER(SEARCH("רינת",D12))),NOT(ISNUMBER(SEARCH("תמר",D12))),D12&lt;&gt;"כל המשפחה"),IF(K12="",99999,K12)+ROW()/100000,"")</f>
        <v/>
      </c>
    </row>
    <row r="13">
      <c r="A13" s="104" t="inlineStr">
        <is>
          <t>T-013</t>
        </is>
      </c>
      <c r="B13" s="105" t="inlineStr">
        <is>
          <t>1 היתכנות</t>
        </is>
      </c>
      <c r="C13" s="106" t="inlineStr">
        <is>
          <t>מהנדס: אילו חלונות בסלון אפשר להרחיב</t>
        </is>
      </c>
      <c r="D13" s="105" t="inlineStr">
        <is>
          <t>מהנדס</t>
        </is>
      </c>
      <c r="E13" s="107" t="inlineStr">
        <is>
          <t>גבוהה</t>
        </is>
      </c>
      <c r="F13" s="107" t="inlineStr">
        <is>
          <t>לא התחיל</t>
        </is>
      </c>
      <c r="G13" s="108">
        <f>IF($A13="","",IF(AND(F13&lt;&gt;"הושלם",F13&lt;&gt;"בוטל",K13&lt;&gt;"",K13&lt;Today_),"באיחור",IF(F13="","לא התחיל",F13)))</f>
        <v/>
      </c>
      <c r="H13" s="109" t="n"/>
      <c r="I13" s="110">
        <f>IF($A13="","",IF(H13&lt;&gt;"",H13,IF(F13="הושלם",1,IF(F13="בתהליך",0.5,IF(OR(F13="ממתין",F13="תקוע"),0.25,0)))))</f>
        <v/>
      </c>
      <c r="J13" s="111">
        <f>IF(OR($A13="",O13=""),"",IF(AND(N13="K",KeyActual&lt;&gt;""),O13+(KeyActual-KeyA),IF(Scenario="B",IF(Q13="",O13,Q13),O13)))</f>
        <v/>
      </c>
      <c r="K13" s="111">
        <f>IF(OR($A13="",P13=""),"",IF(AND(N13="K",KeyActual&lt;&gt;""),P13+(KeyActual-KeyA),IF(Scenario="B",IF(R13="",P13,R13),P13)))</f>
        <v/>
      </c>
      <c r="L13" s="112">
        <f>IF(OR($A13="",K13=""),"",IF(OR(F13="הושלם",F13="בוטל"),"",K13-Today_))</f>
        <v/>
      </c>
      <c r="M13" s="105" t="inlineStr">
        <is>
          <t>T-003,T-010</t>
        </is>
      </c>
      <c r="N13" s="108" t="inlineStr">
        <is>
          <t>F</t>
        </is>
      </c>
      <c r="O13" s="113" t="n">
        <v>46334</v>
      </c>
      <c r="P13" s="113" t="n">
        <v>46356</v>
      </c>
      <c r="Q13" s="113" t="n">
        <v>46334</v>
      </c>
      <c r="R13" s="113" t="n">
        <v>46356</v>
      </c>
      <c r="S13" s="105" t="inlineStr">
        <is>
          <t>בדיקת קירות/עמודים/קורות מול תוכניות; החלטה #6</t>
        </is>
      </c>
      <c r="T13" s="105" t="inlineStr">
        <is>
          <t>תוכניות קונסטרוקציה; מידות 405/424 ס"מ</t>
        </is>
      </c>
      <c r="U13" s="105" t="inlineStr">
        <is>
          <t>חובה לפני הזמנת אלומיניום | 11.10: יש תוכניות קונסטרוקציה של הדגם (חננאל כפיר, 16/04/2023) בתיקייה source/drive/kablan</t>
        </is>
      </c>
      <c r="V13" s="114">
        <f>IF(AND($A13&lt;&gt;"",F13&lt;&gt;"הושלם",F13&lt;&gt;"בוטל",J13&lt;&gt;""),IF(J13&lt;=Today_+14,IF(K13="",99999,K13)+ROW()/100000,""),"")</f>
        <v/>
      </c>
      <c r="W13" s="114">
        <f>IFERROR(IF($A13="","",CHOOSE(MATCH(G13,{"לא התחיל","בתהליך","ממתין","תקוע","באיחור","הושלם","בוטל"},0),1,2,3,3,4,5,6)*100000+IF(K13="",99999,K13)+ROW()/1000000),"")</f>
        <v/>
      </c>
      <c r="X13" s="114">
        <f>IF(AND($A13&lt;&gt;"",F13&lt;&gt;"הושלם",F13&lt;&gt;"בוטל",OR(ISNUMBER(SEARCH("אריאל",D13)),D13="כל המשפחה")),IF(K13="",99999,K13)+ROW()/100000,"")</f>
        <v/>
      </c>
      <c r="Y13" s="114">
        <f>IF(AND($A13&lt;&gt;"",F13&lt;&gt;"הושלם",F13&lt;&gt;"בוטל",OR(ISNUMBER(SEARCH("רינת",D13)),D13="כל המשפחה")),IF(K13="",99999,K13)+ROW()/100000,"")</f>
        <v/>
      </c>
      <c r="Z13" s="114">
        <f>IF(AND($A13&lt;&gt;"",F13&lt;&gt;"הושלם",F13&lt;&gt;"בוטל",OR(ISNUMBER(SEARCH("תמר",D13)))),IF(K13="",99999,K13)+ROW()/100000,"")</f>
        <v/>
      </c>
      <c r="AA13" s="114">
        <f>IF(AND($A13&lt;&gt;"",F13&lt;&gt;"הושלם",F13&lt;&gt;"בוטל",NOT(ISNUMBER(SEARCH("אריאל",D13))),NOT(ISNUMBER(SEARCH("רינת",D13))),NOT(ISNUMBER(SEARCH("תמר",D13))),D13&lt;&gt;"כל המשפחה"),IF(K13="",99999,K13)+ROW()/100000,"")</f>
        <v/>
      </c>
    </row>
    <row r="14">
      <c r="A14" s="104" t="inlineStr">
        <is>
          <t>T-014</t>
        </is>
      </c>
      <c r="B14" s="105" t="inlineStr">
        <is>
          <t>1 היתכנות</t>
        </is>
      </c>
      <c r="C14" s="106" t="inlineStr">
        <is>
          <t>סקר תשתיות (חשמל/אינסטלציה/ניקוז)</t>
        </is>
      </c>
      <c r="D14" s="105" t="inlineStr">
        <is>
          <t>קבלן/חשמלאי</t>
        </is>
      </c>
      <c r="E14" s="107" t="inlineStr">
        <is>
          <t>בינונית</t>
        </is>
      </c>
      <c r="F14" s="107" t="inlineStr">
        <is>
          <t>לא התחיל</t>
        </is>
      </c>
      <c r="G14" s="108">
        <f>IF($A14="","",IF(AND(F14&lt;&gt;"הושלם",F14&lt;&gt;"בוטל",K14&lt;&gt;"",K14&lt;Today_),"באיחור",IF(F14="","לא התחיל",F14)))</f>
        <v/>
      </c>
      <c r="H14" s="109" t="n"/>
      <c r="I14" s="110">
        <f>IF($A14="","",IF(H14&lt;&gt;"",H14,IF(F14="הושלם",1,IF(F14="בתהליך",0.5,IF(OR(F14="ממתין",F14="תקוע"),0.25,0)))))</f>
        <v/>
      </c>
      <c r="J14" s="111">
        <f>IF(OR($A14="",O14=""),"",IF(AND(N14="K",KeyActual&lt;&gt;""),O14+(KeyActual-KeyA),IF(Scenario="B",IF(Q14="",O14,Q14),O14)))</f>
        <v/>
      </c>
      <c r="K14" s="111">
        <f>IF(OR($A14="",P14=""),"",IF(AND(N14="K",KeyActual&lt;&gt;""),P14+(KeyActual-KeyA),IF(Scenario="B",IF(R14="",P14,R14),P14)))</f>
        <v/>
      </c>
      <c r="L14" s="112">
        <f>IF(OR($A14="",K14=""),"",IF(OR(F14="הושלם",F14="בוטל"),"",K14-Today_))</f>
        <v/>
      </c>
      <c r="M14" s="105" t="inlineStr">
        <is>
          <t>T-004</t>
        </is>
      </c>
      <c r="N14" s="108" t="inlineStr">
        <is>
          <t>F</t>
        </is>
      </c>
      <c r="O14" s="113" t="n">
        <v>46341</v>
      </c>
      <c r="P14" s="113" t="n">
        <v>46371</v>
      </c>
      <c r="Q14" s="113" t="n">
        <v>46341</v>
      </c>
      <c r="R14" s="113" t="n">
        <v>46371</v>
      </c>
      <c r="S14" s="105" t="inlineStr">
        <is>
          <t>חשמלאי+אינסטלטור: מצב לוח, הספק, ביוב, ניקוז מרפסת</t>
        </is>
      </c>
      <c r="T14" s="105" t="inlineStr">
        <is>
          <t>גישה לבית</t>
        </is>
      </c>
      <c r="U14" s="105" t="inlineStr">
        <is>
          <t>יכול לגלוש אחרי מפתח</t>
        </is>
      </c>
      <c r="V14" s="114">
        <f>IF(AND($A14&lt;&gt;"",F14&lt;&gt;"הושלם",F14&lt;&gt;"בוטל",J14&lt;&gt;""),IF(J14&lt;=Today_+14,IF(K14="",99999,K14)+ROW()/100000,""),"")</f>
        <v/>
      </c>
      <c r="W14" s="114">
        <f>IFERROR(IF($A14="","",CHOOSE(MATCH(G14,{"לא התחיל","בתהליך","ממתין","תקוע","באיחור","הושלם","בוטל"},0),1,2,3,3,4,5,6)*100000+IF(K14="",99999,K14)+ROW()/1000000),"")</f>
        <v/>
      </c>
      <c r="X14" s="114">
        <f>IF(AND($A14&lt;&gt;"",F14&lt;&gt;"הושלם",F14&lt;&gt;"בוטל",OR(ISNUMBER(SEARCH("אריאל",D14)),D14="כל המשפחה")),IF(K14="",99999,K14)+ROW()/100000,"")</f>
        <v/>
      </c>
      <c r="Y14" s="114">
        <f>IF(AND($A14&lt;&gt;"",F14&lt;&gt;"הושלם",F14&lt;&gt;"בוטל",OR(ISNUMBER(SEARCH("רינת",D14)),D14="כל המשפחה")),IF(K14="",99999,K14)+ROW()/100000,"")</f>
        <v/>
      </c>
      <c r="Z14" s="114">
        <f>IF(AND($A14&lt;&gt;"",F14&lt;&gt;"הושלם",F14&lt;&gt;"בוטל",OR(ISNUMBER(SEARCH("תמר",D14)))),IF(K14="",99999,K14)+ROW()/100000,"")</f>
        <v/>
      </c>
      <c r="AA14" s="114">
        <f>IF(AND($A14&lt;&gt;"",F14&lt;&gt;"הושלם",F14&lt;&gt;"בוטל",NOT(ISNUMBER(SEARCH("אריאל",D14))),NOT(ISNUMBER(SEARCH("רינת",D14))),NOT(ISNUMBER(SEARCH("תמר",D14))),D14&lt;&gt;"כל המשפחה"),IF(K14="",99999,K14)+ROW()/100000,"")</f>
        <v/>
      </c>
    </row>
    <row r="15">
      <c r="A15" s="104" t="inlineStr">
        <is>
          <t>T-020</t>
        </is>
      </c>
      <c r="B15" s="105" t="inlineStr">
        <is>
          <t>2 תכנון</t>
        </is>
      </c>
      <c r="C15" s="106" t="inlineStr">
        <is>
          <t>החלטה: היקף סגירת מרפסת הורים</t>
        </is>
      </c>
      <c r="D15" s="105" t="inlineStr">
        <is>
          <t>אריאל+רינת</t>
        </is>
      </c>
      <c r="E15" s="107" t="inlineStr">
        <is>
          <t>גבוהה</t>
        </is>
      </c>
      <c r="F15" s="107" t="inlineStr">
        <is>
          <t>לא התחיל</t>
        </is>
      </c>
      <c r="G15" s="108">
        <f>IF($A15="","",IF(AND(F15&lt;&gt;"הושלם",F15&lt;&gt;"בוטל",K15&lt;&gt;"",K15&lt;Today_),"באיחור",IF(F15="","לא התחיל",F15)))</f>
        <v/>
      </c>
      <c r="H15" s="109" t="n"/>
      <c r="I15" s="110">
        <f>IF($A15="","",IF(H15&lt;&gt;"",H15,IF(F15="הושלם",1,IF(F15="בתהליך",0.5,IF(OR(F15="ממתין",F15="תקוע"),0.25,0)))))</f>
        <v/>
      </c>
      <c r="J15" s="111">
        <f>IF(OR($A15="",O15=""),"",IF(AND(N15="K",KeyActual&lt;&gt;""),O15+(KeyActual-KeyA),IF(Scenario="B",IF(Q15="",O15,Q15),O15)))</f>
        <v/>
      </c>
      <c r="K15" s="111">
        <f>IF(OR($A15="",P15=""),"",IF(AND(N15="K",KeyActual&lt;&gt;""),P15+(KeyActual-KeyA),IF(Scenario="B",IF(R15="",P15,R15),P15)))</f>
        <v/>
      </c>
      <c r="L15" s="112">
        <f>IF(OR($A15="",K15=""),"",IF(OR(F15="הושלם",F15="בוטל"),"",K15-Today_))</f>
        <v/>
      </c>
      <c r="M15" s="105" t="inlineStr">
        <is>
          <t>T-012</t>
        </is>
      </c>
      <c r="N15" s="108" t="inlineStr">
        <is>
          <t>F</t>
        </is>
      </c>
      <c r="O15" s="113" t="n">
        <v>46346</v>
      </c>
      <c r="P15" s="113" t="n">
        <v>46366</v>
      </c>
      <c r="Q15" s="113" t="n">
        <v>46346</v>
      </c>
      <c r="R15" s="113" t="n">
        <v>46366</v>
      </c>
      <c r="S15" s="105" t="inlineStr">
        <is>
          <t>830×259; שימוש: חדר ארונות/מיני-סלון/עבודה; החלטה #7</t>
        </is>
      </c>
      <c r="T15" s="105" t="inlineStr">
        <is>
          <t>תשובת ועדה, מהנדס</t>
        </is>
      </c>
      <c r="U15" s="105" t="inlineStr">
        <is>
          <t>ייתכן שאסור/דורש היתר</t>
        </is>
      </c>
      <c r="V15" s="114">
        <f>IF(AND($A15&lt;&gt;"",F15&lt;&gt;"הושלם",F15&lt;&gt;"בוטל",J15&lt;&gt;""),IF(J15&lt;=Today_+14,IF(K15="",99999,K15)+ROW()/100000,""),"")</f>
        <v/>
      </c>
      <c r="W15" s="114">
        <f>IFERROR(IF($A15="","",CHOOSE(MATCH(G15,{"לא התחיל","בתהליך","ממתין","תקוע","באיחור","הושלם","בוטל"},0),1,2,3,3,4,5,6)*100000+IF(K15="",99999,K15)+ROW()/1000000),"")</f>
        <v/>
      </c>
      <c r="X15" s="114">
        <f>IF(AND($A15&lt;&gt;"",F15&lt;&gt;"הושלם",F15&lt;&gt;"בוטל",OR(ISNUMBER(SEARCH("אריאל",D15)),D15="כל המשפחה")),IF(K15="",99999,K15)+ROW()/100000,"")</f>
        <v/>
      </c>
      <c r="Y15" s="114">
        <f>IF(AND($A15&lt;&gt;"",F15&lt;&gt;"הושלם",F15&lt;&gt;"בוטל",OR(ISNUMBER(SEARCH("רינת",D15)),D15="כל המשפחה")),IF(K15="",99999,K15)+ROW()/100000,"")</f>
        <v/>
      </c>
      <c r="Z15" s="114">
        <f>IF(AND($A15&lt;&gt;"",F15&lt;&gt;"הושלם",F15&lt;&gt;"בוטל",OR(ISNUMBER(SEARCH("תמר",D15)))),IF(K15="",99999,K15)+ROW()/100000,"")</f>
        <v/>
      </c>
      <c r="AA15" s="114">
        <f>IF(AND($A15&lt;&gt;"",F15&lt;&gt;"הושלם",F15&lt;&gt;"בוטל",NOT(ISNUMBER(SEARCH("אריאל",D15))),NOT(ISNUMBER(SEARCH("רינת",D15))),NOT(ISNUMBER(SEARCH("תמר",D15))),D15&lt;&gt;"כל המשפחה"),IF(K15="",99999,K15)+ROW()/100000,"")</f>
        <v/>
      </c>
    </row>
    <row r="16">
      <c r="A16" s="104" t="inlineStr">
        <is>
          <t>T-021</t>
        </is>
      </c>
      <c r="B16" s="105" t="inlineStr">
        <is>
          <t>2 תכנון</t>
        </is>
      </c>
      <c r="C16" s="106" t="inlineStr">
        <is>
          <t>קליניקה + מחסן: החלטה על חלופה</t>
        </is>
      </c>
      <c r="D16" s="105" t="inlineStr">
        <is>
          <t>אריאל+אדריכל</t>
        </is>
      </c>
      <c r="E16" s="107" t="inlineStr">
        <is>
          <t>גבוהה</t>
        </is>
      </c>
      <c r="F16" s="107" t="inlineStr">
        <is>
          <t>לא התחיל</t>
        </is>
      </c>
      <c r="G16" s="108">
        <f>IF($A16="","",IF(AND(F16&lt;&gt;"הושלם",F16&lt;&gt;"בוטל",K16&lt;&gt;"",K16&lt;Today_),"באיחור",IF(F16="","לא התחיל",F16)))</f>
        <v/>
      </c>
      <c r="H16" s="109" t="n"/>
      <c r="I16" s="110">
        <f>IF($A16="","",IF(H16&lt;&gt;"",H16,IF(F16="הושלם",1,IF(F16="בתהליך",0.5,IF(OR(F16="ממתין",F16="תקוע"),0.25,0)))))</f>
        <v/>
      </c>
      <c r="J16" s="111">
        <f>IF(OR($A16="",O16=""),"",IF(AND(N16="K",KeyActual&lt;&gt;""),O16+(KeyActual-KeyA),IF(Scenario="B",IF(Q16="",O16,Q16),O16)))</f>
        <v/>
      </c>
      <c r="K16" s="111">
        <f>IF(OR($A16="",P16=""),"",IF(AND(N16="K",KeyActual&lt;&gt;""),P16+(KeyActual-KeyA),IF(Scenario="B",IF(R16="",P16,R16),P16)))</f>
        <v/>
      </c>
      <c r="L16" s="112">
        <f>IF(OR($A16="",K16=""),"",IF(OR(F16="הושלם",F16="בוטל"),"",K16-Today_))</f>
        <v/>
      </c>
      <c r="M16" s="105" t="inlineStr">
        <is>
          <t>T-011,T-012</t>
        </is>
      </c>
      <c r="N16" s="108" t="inlineStr">
        <is>
          <t>F</t>
        </is>
      </c>
      <c r="O16" s="113" t="n">
        <v>46351</v>
      </c>
      <c r="P16" s="113" t="n">
        <v>46376</v>
      </c>
      <c r="Q16" s="113" t="n">
        <v>46351</v>
      </c>
      <c r="R16" s="113" t="n">
        <v>46376</v>
      </c>
      <c r="S16" s="105" t="inlineStr">
        <is>
          <t>לאור התב"ע (מגורים בלבד, מחסן אינטגרלי ≤15 מ"ר, קו 3 מ'); החלטה #8</t>
        </is>
      </c>
      <c r="T16" s="105" t="inlineStr">
        <is>
          <t>מפת מדידה, תשובת ועדה</t>
        </is>
      </c>
      <c r="U16" s="105" t="inlineStr">
        <is>
          <t>סיכון אדום | 11.10(2): הגבול הצפוני (הורביץ) = קו בניין 3 מ'; סיווג היתר: נדרש/כנראה לא ניתן לאשר</t>
        </is>
      </c>
      <c r="V16" s="114">
        <f>IF(AND($A16&lt;&gt;"",F16&lt;&gt;"הושלם",F16&lt;&gt;"בוטל",J16&lt;&gt;""),IF(J16&lt;=Today_+14,IF(K16="",99999,K16)+ROW()/100000,""),"")</f>
        <v/>
      </c>
      <c r="W16" s="114">
        <f>IFERROR(IF($A16="","",CHOOSE(MATCH(G16,{"לא התחיל","בתהליך","ממתין","תקוע","באיחור","הושלם","בוטל"},0),1,2,3,3,4,5,6)*100000+IF(K16="",99999,K16)+ROW()/1000000),"")</f>
        <v/>
      </c>
      <c r="X16" s="114">
        <f>IF(AND($A16&lt;&gt;"",F16&lt;&gt;"הושלם",F16&lt;&gt;"בוטל",OR(ISNUMBER(SEARCH("אריאל",D16)),D16="כל המשפחה")),IF(K16="",99999,K16)+ROW()/100000,"")</f>
        <v/>
      </c>
      <c r="Y16" s="114">
        <f>IF(AND($A16&lt;&gt;"",F16&lt;&gt;"הושלם",F16&lt;&gt;"בוטל",OR(ISNUMBER(SEARCH("רינת",D16)),D16="כל המשפחה")),IF(K16="",99999,K16)+ROW()/100000,"")</f>
        <v/>
      </c>
      <c r="Z16" s="114">
        <f>IF(AND($A16&lt;&gt;"",F16&lt;&gt;"הושלם",F16&lt;&gt;"בוטל",OR(ISNUMBER(SEARCH("תמר",D16)))),IF(K16="",99999,K16)+ROW()/100000,"")</f>
        <v/>
      </c>
      <c r="AA16" s="114">
        <f>IF(AND($A16&lt;&gt;"",F16&lt;&gt;"הושלם",F16&lt;&gt;"בוטל",NOT(ISNUMBER(SEARCH("אריאל",D16))),NOT(ISNUMBER(SEARCH("רינת",D16))),NOT(ISNUMBER(SEARCH("תמר",D16))),D16&lt;&gt;"כל המשפחה"),IF(K16="",99999,K16)+ROW()/100000,"")</f>
        <v/>
      </c>
    </row>
    <row r="17">
      <c r="A17" s="104" t="inlineStr">
        <is>
          <t>T-022</t>
        </is>
      </c>
      <c r="B17" s="105" t="inlineStr">
        <is>
          <t>2 תכנון</t>
        </is>
      </c>
      <c r="C17" s="106" t="inlineStr">
        <is>
          <t>היקף מטבח + מזווה</t>
        </is>
      </c>
      <c r="D17" s="105" t="inlineStr">
        <is>
          <t>אריאל+רינת</t>
        </is>
      </c>
      <c r="E17" s="107" t="inlineStr">
        <is>
          <t>גבוהה</t>
        </is>
      </c>
      <c r="F17" s="107" t="inlineStr">
        <is>
          <t>לא התחיל</t>
        </is>
      </c>
      <c r="G17" s="108">
        <f>IF($A17="","",IF(AND(F17&lt;&gt;"הושלם",F17&lt;&gt;"בוטל",K17&lt;&gt;"",K17&lt;Today_),"באיחור",IF(F17="","לא התחיל",F17)))</f>
        <v/>
      </c>
      <c r="H17" s="109" t="n"/>
      <c r="I17" s="110">
        <f>IF($A17="","",IF(H17&lt;&gt;"",H17,IF(F17="הושלם",1,IF(F17="בתהליך",0.5,IF(OR(F17="ממתין",F17="תקוע"),0.25,0)))))</f>
        <v/>
      </c>
      <c r="J17" s="111">
        <f>IF(OR($A17="",O17=""),"",IF(AND(N17="K",KeyActual&lt;&gt;""),O17+(KeyActual-KeyA),IF(Scenario="B",IF(Q17="",O17,Q17),O17)))</f>
        <v/>
      </c>
      <c r="K17" s="111">
        <f>IF(OR($A17="",P17=""),"",IF(AND(N17="K",KeyActual&lt;&gt;""),P17+(KeyActual-KeyA),IF(Scenario="B",IF(R17="",P17,R17),P17)))</f>
        <v/>
      </c>
      <c r="L17" s="112">
        <f>IF(OR($A17="",K17=""),"",IF(OR(F17="הושלם",F17="בוטל"),"",K17-Today_))</f>
        <v/>
      </c>
      <c r="M17" s="105" t="inlineStr">
        <is>
          <t>T-001</t>
        </is>
      </c>
      <c r="N17" s="108" t="inlineStr">
        <is>
          <t>F</t>
        </is>
      </c>
      <c r="O17" s="113" t="n">
        <v>46327</v>
      </c>
      <c r="P17" s="113" t="n">
        <v>46348</v>
      </c>
      <c r="Q17" s="113" t="n">
        <v>46327</v>
      </c>
      <c r="R17" s="113" t="n">
        <v>46348</v>
      </c>
      <c r="S17" s="105" t="inlineStr">
        <is>
          <t>מלא/אי/מכשירים; מקרר נוסף במזווה; החלטה #9</t>
        </is>
      </c>
      <c r="T17" s="105" t="inlineStr">
        <is>
          <t>מידות 319/470, רשימת מכשירים</t>
        </is>
      </c>
      <c r="U17" s="105" t="inlineStr">
        <is>
          <t>נדרש לפני נקודות חשמל-מים</t>
        </is>
      </c>
      <c r="V17" s="114">
        <f>IF(AND($A17&lt;&gt;"",F17&lt;&gt;"הושלם",F17&lt;&gt;"בוטל",J17&lt;&gt;""),IF(J17&lt;=Today_+14,IF(K17="",99999,K17)+ROW()/100000,""),"")</f>
        <v/>
      </c>
      <c r="W17" s="114">
        <f>IFERROR(IF($A17="","",CHOOSE(MATCH(G17,{"לא התחיל","בתהליך","ממתין","תקוע","באיחור","הושלם","בוטל"},0),1,2,3,3,4,5,6)*100000+IF(K17="",99999,K17)+ROW()/1000000),"")</f>
        <v/>
      </c>
      <c r="X17" s="114">
        <f>IF(AND($A17&lt;&gt;"",F17&lt;&gt;"הושלם",F17&lt;&gt;"בוטל",OR(ISNUMBER(SEARCH("אריאל",D17)),D17="כל המשפחה")),IF(K17="",99999,K17)+ROW()/100000,"")</f>
        <v/>
      </c>
      <c r="Y17" s="114">
        <f>IF(AND($A17&lt;&gt;"",F17&lt;&gt;"הושלם",F17&lt;&gt;"בוטל",OR(ISNUMBER(SEARCH("רינת",D17)),D17="כל המשפחה")),IF(K17="",99999,K17)+ROW()/100000,"")</f>
        <v/>
      </c>
      <c r="Z17" s="114">
        <f>IF(AND($A17&lt;&gt;"",F17&lt;&gt;"הושלם",F17&lt;&gt;"בוטל",OR(ISNUMBER(SEARCH("תמר",D17)))),IF(K17="",99999,K17)+ROW()/100000,"")</f>
        <v/>
      </c>
      <c r="AA17" s="114">
        <f>IF(AND($A17&lt;&gt;"",F17&lt;&gt;"הושלם",F17&lt;&gt;"בוטל",NOT(ISNUMBER(SEARCH("אריאל",D17))),NOT(ISNUMBER(SEARCH("רינת",D17))),NOT(ISNUMBER(SEARCH("תמר",D17))),D17&lt;&gt;"כל המשפחה"),IF(K17="",99999,K17)+ROW()/100000,"")</f>
        <v/>
      </c>
    </row>
    <row r="18">
      <c r="A18" s="104" t="inlineStr">
        <is>
          <t>T-023</t>
        </is>
      </c>
      <c r="B18" s="105" t="inlineStr">
        <is>
          <t>2 תכנון</t>
        </is>
      </c>
      <c r="C18" s="106" t="inlineStr">
        <is>
          <t>קונספט חוץ</t>
        </is>
      </c>
      <c r="D18" s="105" t="inlineStr">
        <is>
          <t>אריאל+רינת</t>
        </is>
      </c>
      <c r="E18" s="107" t="inlineStr">
        <is>
          <t>נמוכה</t>
        </is>
      </c>
      <c r="F18" s="107" t="inlineStr">
        <is>
          <t>לא התחיל</t>
        </is>
      </c>
      <c r="G18" s="108">
        <f>IF($A18="","",IF(AND(F18&lt;&gt;"הושלם",F18&lt;&gt;"בוטל",K18&lt;&gt;"",K18&lt;Today_),"באיחור",IF(F18="","לא התחיל",F18)))</f>
        <v/>
      </c>
      <c r="H18" s="109" t="n"/>
      <c r="I18" s="110">
        <f>IF($A18="","",IF(H18&lt;&gt;"",H18,IF(F18="הושלם",1,IF(F18="בתהליך",0.5,IF(OR(F18="ממתין",F18="תקוע"),0.25,0)))))</f>
        <v/>
      </c>
      <c r="J18" s="111">
        <f>IF(OR($A18="",O18=""),"",IF(AND(N18="K",KeyActual&lt;&gt;""),O18+(KeyActual-KeyA),IF(Scenario="B",IF(Q18="",O18,Q18),O18)))</f>
        <v/>
      </c>
      <c r="K18" s="111">
        <f>IF(OR($A18="",P18=""),"",IF(AND(N18="K",KeyActual&lt;&gt;""),P18+(KeyActual-KeyA),IF(Scenario="B",IF(R18="",P18,R18),P18)))</f>
        <v/>
      </c>
      <c r="L18" s="112">
        <f>IF(OR($A18="",K18=""),"",IF(OR(F18="הושלם",F18="בוטל"),"",K18-Today_))</f>
        <v/>
      </c>
      <c r="M18" s="105" t="inlineStr">
        <is>
          <t>T-011,T-012</t>
        </is>
      </c>
      <c r="N18" s="108" t="inlineStr">
        <is>
          <t>F</t>
        </is>
      </c>
      <c r="O18" s="113" t="n">
        <v>46357</v>
      </c>
      <c r="P18" s="113" t="n">
        <v>46402</v>
      </c>
      <c r="Q18" s="113" t="n">
        <v>46357</v>
      </c>
      <c r="R18" s="113" t="n">
        <v>46402</v>
      </c>
      <c r="S18" s="105" t="inlineStr">
        <is>
          <t>מטבח חוץ, הצללה (פרגולה לא נסגרת), גידור (זכוכית? לבדוק), גינה; החלטה #10</t>
        </is>
      </c>
      <c r="T18" s="105" t="inlineStr">
        <is>
          <t>תקציב גינה 20–50 אלף (לא אומת)</t>
        </is>
      </c>
      <c r="U18" s="105" t="inlineStr">
        <is>
          <t>יכול לרוץ אחרי כניסה</t>
        </is>
      </c>
      <c r="V18" s="114">
        <f>IF(AND($A18&lt;&gt;"",F18&lt;&gt;"הושלם",F18&lt;&gt;"בוטל",J18&lt;&gt;""),IF(J18&lt;=Today_+14,IF(K18="",99999,K18)+ROW()/100000,""),"")</f>
        <v/>
      </c>
      <c r="W18" s="114">
        <f>IFERROR(IF($A18="","",CHOOSE(MATCH(G18,{"לא התחיל","בתהליך","ממתין","תקוע","באיחור","הושלם","בוטל"},0),1,2,3,3,4,5,6)*100000+IF(K18="",99999,K18)+ROW()/1000000),"")</f>
        <v/>
      </c>
      <c r="X18" s="114">
        <f>IF(AND($A18&lt;&gt;"",F18&lt;&gt;"הושלם",F18&lt;&gt;"בוטל",OR(ISNUMBER(SEARCH("אריאל",D18)),D18="כל המשפחה")),IF(K18="",99999,K18)+ROW()/100000,"")</f>
        <v/>
      </c>
      <c r="Y18" s="114">
        <f>IF(AND($A18&lt;&gt;"",F18&lt;&gt;"הושלם",F18&lt;&gt;"בוטל",OR(ISNUMBER(SEARCH("רינת",D18)),D18="כל המשפחה")),IF(K18="",99999,K18)+ROW()/100000,"")</f>
        <v/>
      </c>
      <c r="Z18" s="114">
        <f>IF(AND($A18&lt;&gt;"",F18&lt;&gt;"הושלם",F18&lt;&gt;"בוטל",OR(ISNUMBER(SEARCH("תמר",D18)))),IF(K18="",99999,K18)+ROW()/100000,"")</f>
        <v/>
      </c>
      <c r="AA18" s="114">
        <f>IF(AND($A18&lt;&gt;"",F18&lt;&gt;"הושלם",F18&lt;&gt;"בוטל",NOT(ISNUMBER(SEARCH("אריאל",D18))),NOT(ISNUMBER(SEARCH("רינת",D18))),NOT(ISNUMBER(SEARCH("תמר",D18))),D18&lt;&gt;"כל המשפחה"),IF(K18="",99999,K18)+ROW()/100000,"")</f>
        <v/>
      </c>
    </row>
    <row r="19">
      <c r="A19" s="104" t="inlineStr">
        <is>
          <t>T-024</t>
        </is>
      </c>
      <c r="B19" s="105" t="inlineStr">
        <is>
          <t>2 תכנון</t>
        </is>
      </c>
      <c r="C19" s="106" t="inlineStr">
        <is>
          <t>כתב כמויות + תקציב לפי שלבים</t>
        </is>
      </c>
      <c r="D19" s="105" t="inlineStr">
        <is>
          <t>אדריכל/קבלן</t>
        </is>
      </c>
      <c r="E19" s="107" t="inlineStr">
        <is>
          <t>בינונית</t>
        </is>
      </c>
      <c r="F19" s="107" t="inlineStr">
        <is>
          <t>לא התחיל</t>
        </is>
      </c>
      <c r="G19" s="108">
        <f>IF($A19="","",IF(AND(F19&lt;&gt;"הושלם",F19&lt;&gt;"בוטל",K19&lt;&gt;"",K19&lt;Today_),"באיחור",IF(F19="","לא התחיל",F19)))</f>
        <v/>
      </c>
      <c r="H19" s="109" t="n"/>
      <c r="I19" s="110">
        <f>IF($A19="","",IF(H19&lt;&gt;"",H19,IF(F19="הושלם",1,IF(F19="בתהליך",0.5,IF(OR(F19="ממתין",F19="תקוע"),0.25,0)))))</f>
        <v/>
      </c>
      <c r="J19" s="111">
        <f>IF(OR($A19="",O19=""),"",IF(AND(N19="K",KeyActual&lt;&gt;""),O19+(KeyActual-KeyA),IF(Scenario="B",IF(Q19="",O19,Q19),O19)))</f>
        <v/>
      </c>
      <c r="K19" s="111">
        <f>IF(OR($A19="",P19=""),"",IF(AND(N19="K",KeyActual&lt;&gt;""),P19+(KeyActual-KeyA),IF(Scenario="B",IF(R19="",P19,R19),P19)))</f>
        <v/>
      </c>
      <c r="L19" s="112">
        <f>IF(OR($A19="",K19=""),"",IF(OR(F19="הושלם",F19="בוטל"),"",K19-Today_))</f>
        <v/>
      </c>
      <c r="M19" s="105" t="inlineStr">
        <is>
          <t>T-013,T-020,T-022</t>
        </is>
      </c>
      <c r="N19" s="108" t="inlineStr">
        <is>
          <t>F</t>
        </is>
      </c>
      <c r="O19" s="113" t="n">
        <v>46348</v>
      </c>
      <c r="P19" s="113" t="n">
        <v>46366</v>
      </c>
      <c r="Q19" s="113" t="n">
        <v>46348</v>
      </c>
      <c r="R19" s="113" t="n">
        <v>46366</v>
      </c>
      <c r="S19" s="105" t="inlineStr">
        <is>
          <t>להכין כתב כמויות לקבלת הצעות</t>
        </is>
      </c>
      <c r="T19" s="105" t="inlineStr">
        <is>
          <t>כל ההחלטות לעיל</t>
        </is>
      </c>
      <c r="U19" s="105" t="inlineStr">
        <is>
          <t>בסיס להשוואת הצעות</t>
        </is>
      </c>
      <c r="V19" s="114">
        <f>IF(AND($A19&lt;&gt;"",F19&lt;&gt;"הושלם",F19&lt;&gt;"בוטל",J19&lt;&gt;""),IF(J19&lt;=Today_+14,IF(K19="",99999,K19)+ROW()/100000,""),"")</f>
        <v/>
      </c>
      <c r="W19" s="114">
        <f>IFERROR(IF($A19="","",CHOOSE(MATCH(G19,{"לא התחיל","בתהליך","ממתין","תקוע","באיחור","הושלם","בוטל"},0),1,2,3,3,4,5,6)*100000+IF(K19="",99999,K19)+ROW()/1000000),"")</f>
        <v/>
      </c>
      <c r="X19" s="114">
        <f>IF(AND($A19&lt;&gt;"",F19&lt;&gt;"הושלם",F19&lt;&gt;"בוטל",OR(ISNUMBER(SEARCH("אריאל",D19)),D19="כל המשפחה")),IF(K19="",99999,K19)+ROW()/100000,"")</f>
        <v/>
      </c>
      <c r="Y19" s="114">
        <f>IF(AND($A19&lt;&gt;"",F19&lt;&gt;"הושלם",F19&lt;&gt;"בוטל",OR(ISNUMBER(SEARCH("רינת",D19)),D19="כל המשפחה")),IF(K19="",99999,K19)+ROW()/100000,"")</f>
        <v/>
      </c>
      <c r="Z19" s="114">
        <f>IF(AND($A19&lt;&gt;"",F19&lt;&gt;"הושלם",F19&lt;&gt;"בוטל",OR(ISNUMBER(SEARCH("תמר",D19)))),IF(K19="",99999,K19)+ROW()/100000,"")</f>
        <v/>
      </c>
      <c r="AA19" s="114">
        <f>IF(AND($A19&lt;&gt;"",F19&lt;&gt;"הושלם",F19&lt;&gt;"בוטל",NOT(ISNUMBER(SEARCH("אריאל",D19))),NOT(ISNUMBER(SEARCH("רינת",D19))),NOT(ISNUMBER(SEARCH("תמר",D19))),D19&lt;&gt;"כל המשפחה"),IF(K19="",99999,K19)+ROW()/100000,"")</f>
        <v/>
      </c>
    </row>
    <row r="20">
      <c r="A20" s="104" t="inlineStr">
        <is>
          <t>T-030</t>
        </is>
      </c>
      <c r="B20" s="105" t="inlineStr">
        <is>
          <t>3 התקשרויות</t>
        </is>
      </c>
      <c r="C20" s="106" t="inlineStr">
        <is>
          <t>3 הצעות מחיר מקבלנים</t>
        </is>
      </c>
      <c r="D20" s="105" t="inlineStr">
        <is>
          <t>אריאל</t>
        </is>
      </c>
      <c r="E20" s="107" t="inlineStr">
        <is>
          <t>בינונית</t>
        </is>
      </c>
      <c r="F20" s="107" t="inlineStr">
        <is>
          <t>לא התחיל</t>
        </is>
      </c>
      <c r="G20" s="108">
        <f>IF($A20="","",IF(AND(F20&lt;&gt;"הושלם",F20&lt;&gt;"בוטל",K20&lt;&gt;"",K20&lt;Today_),"באיחור",IF(F20="","לא התחיל",F20)))</f>
        <v/>
      </c>
      <c r="H20" s="109" t="n"/>
      <c r="I20" s="110">
        <f>IF($A20="","",IF(H20&lt;&gt;"",H20,IF(F20="הושלם",1,IF(F20="בתהליך",0.5,IF(OR(F20="ממתין",F20="תקוע"),0.25,0)))))</f>
        <v/>
      </c>
      <c r="J20" s="111">
        <f>IF(OR($A20="",O20=""),"",IF(AND(N20="K",KeyActual&lt;&gt;""),O20+(KeyActual-KeyA),IF(Scenario="B",IF(Q20="",O20,Q20),O20)))</f>
        <v/>
      </c>
      <c r="K20" s="111">
        <f>IF(OR($A20="",P20=""),"",IF(AND(N20="K",KeyActual&lt;&gt;""),P20+(KeyActual-KeyA),IF(Scenario="B",IF(R20="",P20,R20),P20)))</f>
        <v/>
      </c>
      <c r="L20" s="112">
        <f>IF(OR($A20="",K20=""),"",IF(OR(F20="הושלם",F20="בוטל"),"",K20-Today_))</f>
        <v/>
      </c>
      <c r="M20" s="105" t="inlineStr">
        <is>
          <t>T-024</t>
        </is>
      </c>
      <c r="N20" s="108" t="inlineStr">
        <is>
          <t>F</t>
        </is>
      </c>
      <c r="O20" s="113" t="n">
        <v>46351</v>
      </c>
      <c r="P20" s="113" t="n">
        <v>46376</v>
      </c>
      <c r="Q20" s="113" t="n">
        <v>46351</v>
      </c>
      <c r="R20" s="113" t="n">
        <v>46376</v>
      </c>
      <c r="S20" s="105" t="inlineStr">
        <is>
          <t>להשוות לפי כתב כמויות (חומר/עבודה/מע"מ)</t>
        </is>
      </c>
      <c r="T20" s="105" t="inlineStr">
        <is>
          <t>כתב כמויות, לו"ז</t>
        </is>
      </c>
      <c r="U20" s="105" t="inlineStr">
        <is>
          <t>אין התחייבות ללא אישור</t>
        </is>
      </c>
      <c r="V20" s="114">
        <f>IF(AND($A20&lt;&gt;"",F20&lt;&gt;"הושלם",F20&lt;&gt;"בוטל",J20&lt;&gt;""),IF(J20&lt;=Today_+14,IF(K20="",99999,K20)+ROW()/100000,""),"")</f>
        <v/>
      </c>
      <c r="W20" s="114">
        <f>IFERROR(IF($A20="","",CHOOSE(MATCH(G20,{"לא התחיל","בתהליך","ממתין","תקוע","באיחור","הושלם","בוטל"},0),1,2,3,3,4,5,6)*100000+IF(K20="",99999,K20)+ROW()/1000000),"")</f>
        <v/>
      </c>
      <c r="X20" s="114">
        <f>IF(AND($A20&lt;&gt;"",F20&lt;&gt;"הושלם",F20&lt;&gt;"בוטל",OR(ISNUMBER(SEARCH("אריאל",D20)),D20="כל המשפחה")),IF(K20="",99999,K20)+ROW()/100000,"")</f>
        <v/>
      </c>
      <c r="Y20" s="114">
        <f>IF(AND($A20&lt;&gt;"",F20&lt;&gt;"הושלם",F20&lt;&gt;"בוטל",OR(ISNUMBER(SEARCH("רינת",D20)),D20="כל המשפחה")),IF(K20="",99999,K20)+ROW()/100000,"")</f>
        <v/>
      </c>
      <c r="Z20" s="114">
        <f>IF(AND($A20&lt;&gt;"",F20&lt;&gt;"הושלם",F20&lt;&gt;"בוטל",OR(ISNUMBER(SEARCH("תמר",D20)))),IF(K20="",99999,K20)+ROW()/100000,"")</f>
        <v/>
      </c>
      <c r="AA20" s="114">
        <f>IF(AND($A20&lt;&gt;"",F20&lt;&gt;"הושלם",F20&lt;&gt;"בוטל",NOT(ISNUMBER(SEARCH("אריאל",D20))),NOT(ISNUMBER(SEARCH("רינת",D20))),NOT(ISNUMBER(SEARCH("תמר",D20))),D20&lt;&gt;"כל המשפחה"),IF(K20="",99999,K20)+ROW()/100000,"")</f>
        <v/>
      </c>
    </row>
    <row r="21">
      <c r="A21" s="104" t="inlineStr">
        <is>
          <t>T-031</t>
        </is>
      </c>
      <c r="B21" s="105" t="inlineStr">
        <is>
          <t>3 התקשרויות</t>
        </is>
      </c>
      <c r="C21" s="106" t="inlineStr">
        <is>
          <t>בחירת קבלן + חוזה</t>
        </is>
      </c>
      <c r="D21" s="105" t="inlineStr">
        <is>
          <t>אריאל+רינת</t>
        </is>
      </c>
      <c r="E21" s="107" t="inlineStr">
        <is>
          <t>גבוהה</t>
        </is>
      </c>
      <c r="F21" s="107" t="inlineStr">
        <is>
          <t>לא התחיל</t>
        </is>
      </c>
      <c r="G21" s="108">
        <f>IF($A21="","",IF(AND(F21&lt;&gt;"הושלם",F21&lt;&gt;"בוטל",K21&lt;&gt;"",K21&lt;Today_),"באיחור",IF(F21="","לא התחיל",F21)))</f>
        <v/>
      </c>
      <c r="H21" s="109" t="n"/>
      <c r="I21" s="110">
        <f>IF($A21="","",IF(H21&lt;&gt;"",H21,IF(F21="הושלם",1,IF(F21="בתהליך",0.5,IF(OR(F21="ממתין",F21="תקוע"),0.25,0)))))</f>
        <v/>
      </c>
      <c r="J21" s="111">
        <f>IF(OR($A21="",O21=""),"",IF(AND(N21="K",KeyActual&lt;&gt;""),O21+(KeyActual-KeyA),IF(Scenario="B",IF(Q21="",O21,Q21),O21)))</f>
        <v/>
      </c>
      <c r="K21" s="111">
        <f>IF(OR($A21="",P21=""),"",IF(AND(N21="K",KeyActual&lt;&gt;""),P21+(KeyActual-KeyA),IF(Scenario="B",IF(R21="",P21,R21),P21)))</f>
        <v/>
      </c>
      <c r="L21" s="112">
        <f>IF(OR($A21="",K21=""),"",IF(OR(F21="הושלם",F21="בוטל"),"",K21-Today_))</f>
        <v/>
      </c>
      <c r="M21" s="105" t="inlineStr">
        <is>
          <t>T-030</t>
        </is>
      </c>
      <c r="N21" s="108" t="inlineStr">
        <is>
          <t>K</t>
        </is>
      </c>
      <c r="O21" s="113" t="n">
        <v>46350</v>
      </c>
      <c r="P21" s="113" t="n">
        <v>46367</v>
      </c>
      <c r="Q21" s="113" t="n">
        <v>46385</v>
      </c>
      <c r="R21" s="113" t="n">
        <v>46402</v>
      </c>
      <c r="S21" s="105" t="inlineStr">
        <is>
          <t>לו"ז, אבני דרך לתשלום, עיכבון, אחריות</t>
        </is>
      </c>
      <c r="T21" s="105" t="inlineStr">
        <is>
          <t>הצעות, ביטוח קבלן</t>
        </is>
      </c>
      <c r="U21" s="105" t="inlineStr">
        <is>
          <t>מומלץ ייעוץ משפטי (המלצה)</t>
        </is>
      </c>
      <c r="V21" s="114">
        <f>IF(AND($A21&lt;&gt;"",F21&lt;&gt;"הושלם",F21&lt;&gt;"בוטל",J21&lt;&gt;""),IF(J21&lt;=Today_+14,IF(K21="",99999,K21)+ROW()/100000,""),"")</f>
        <v/>
      </c>
      <c r="W21" s="114">
        <f>IFERROR(IF($A21="","",CHOOSE(MATCH(G21,{"לא התחיל","בתהליך","ממתין","תקוע","באיחור","הושלם","בוטל"},0),1,2,3,3,4,5,6)*100000+IF(K21="",99999,K21)+ROW()/1000000),"")</f>
        <v/>
      </c>
      <c r="X21" s="114">
        <f>IF(AND($A21&lt;&gt;"",F21&lt;&gt;"הושלם",F21&lt;&gt;"בוטל",OR(ISNUMBER(SEARCH("אריאל",D21)),D21="כל המשפחה")),IF(K21="",99999,K21)+ROW()/100000,"")</f>
        <v/>
      </c>
      <c r="Y21" s="114">
        <f>IF(AND($A21&lt;&gt;"",F21&lt;&gt;"הושלם",F21&lt;&gt;"בוטל",OR(ISNUMBER(SEARCH("רינת",D21)),D21="כל המשפחה")),IF(K21="",99999,K21)+ROW()/100000,"")</f>
        <v/>
      </c>
      <c r="Z21" s="114">
        <f>IF(AND($A21&lt;&gt;"",F21&lt;&gt;"הושלם",F21&lt;&gt;"בוטל",OR(ISNUMBER(SEARCH("תמר",D21)))),IF(K21="",99999,K21)+ROW()/100000,"")</f>
        <v/>
      </c>
      <c r="AA21" s="114">
        <f>IF(AND($A21&lt;&gt;"",F21&lt;&gt;"הושלם",F21&lt;&gt;"בוטל",NOT(ISNUMBER(SEARCH("אריאל",D21))),NOT(ISNUMBER(SEARCH("רינת",D21))),NOT(ISNUMBER(SEARCH("תמר",D21))),D21&lt;&gt;"כל המשפחה"),IF(K21="",99999,K21)+ROW()/100000,"")</f>
        <v/>
      </c>
    </row>
    <row r="22">
      <c r="A22" s="104" t="inlineStr">
        <is>
          <t>T-032</t>
        </is>
      </c>
      <c r="B22" s="105" t="inlineStr">
        <is>
          <t>3 התקשרויות</t>
        </is>
      </c>
      <c r="C22" s="106" t="inlineStr">
        <is>
          <t>הגשת בקשת היתר (אם נדרש)</t>
        </is>
      </c>
      <c r="D22" s="105" t="inlineStr">
        <is>
          <t>אדריכל רישוי</t>
        </is>
      </c>
      <c r="E22" s="107" t="inlineStr">
        <is>
          <t>בינונית</t>
        </is>
      </c>
      <c r="F22" s="107" t="inlineStr">
        <is>
          <t>לא התחיל</t>
        </is>
      </c>
      <c r="G22" s="108">
        <f>IF($A22="","",IF(AND(F22&lt;&gt;"הושלם",F22&lt;&gt;"בוטל",K22&lt;&gt;"",K22&lt;Today_),"באיחור",IF(F22="","לא התחיל",F22)))</f>
        <v/>
      </c>
      <c r="H22" s="109" t="n"/>
      <c r="I22" s="110">
        <f>IF($A22="","",IF(H22&lt;&gt;"",H22,IF(F22="הושלם",1,IF(F22="בתהליך",0.5,IF(OR(F22="ממתין",F22="תקוע"),0.25,0)))))</f>
        <v/>
      </c>
      <c r="J22" s="111">
        <f>IF(OR($A22="",O22=""),"",IF(AND(N22="K",KeyActual&lt;&gt;""),O22+(KeyActual-KeyA),IF(Scenario="B",IF(Q22="",O22,Q22),O22)))</f>
        <v/>
      </c>
      <c r="K22" s="111">
        <f>IF(OR($A22="",P22=""),"",IF(AND(N22="K",KeyActual&lt;&gt;""),P22+(KeyActual-KeyA),IF(Scenario="B",IF(R22="",P22,R22),P22)))</f>
        <v/>
      </c>
      <c r="L22" s="112">
        <f>IF(OR($A22="",K22=""),"",IF(OR(F22="הושלם",F22="בוטל"),"",K22-Today_))</f>
        <v/>
      </c>
      <c r="M22" s="105" t="inlineStr">
        <is>
          <t>T-012,T-020</t>
        </is>
      </c>
      <c r="N22" s="108" t="inlineStr">
        <is>
          <t>F</t>
        </is>
      </c>
      <c r="O22" s="113" t="n">
        <v>46366</v>
      </c>
      <c r="P22" s="113" t="n">
        <v>46418</v>
      </c>
      <c r="Q22" s="113" t="n">
        <v>46366</v>
      </c>
      <c r="R22" s="113" t="n">
        <v>46418</v>
      </c>
      <c r="S22" s="105" t="inlineStr">
        <is>
          <t>מרפסת/חלונות/מחסן לפי תשובת ועדה</t>
        </is>
      </c>
      <c r="T22" s="105" t="inlineStr">
        <is>
          <t>מפת מדידה, תכנית פיתוח, חישובים סטטיים</t>
        </is>
      </c>
      <c r="U22" s="105" t="inlineStr">
        <is>
          <t>משך אישור — לא ידוע; עבודות פנים ללא היתר יכולות להתחיל</t>
        </is>
      </c>
      <c r="V22" s="114">
        <f>IF(AND($A22&lt;&gt;"",F22&lt;&gt;"הושלם",F22&lt;&gt;"בוטל",J22&lt;&gt;""),IF(J22&lt;=Today_+14,IF(K22="",99999,K22)+ROW()/100000,""),"")</f>
        <v/>
      </c>
      <c r="W22" s="114">
        <f>IFERROR(IF($A22="","",CHOOSE(MATCH(G22,{"לא התחיל","בתהליך","ממתין","תקוע","באיחור","הושלם","בוטל"},0),1,2,3,3,4,5,6)*100000+IF(K22="",99999,K22)+ROW()/1000000),"")</f>
        <v/>
      </c>
      <c r="X22" s="114">
        <f>IF(AND($A22&lt;&gt;"",F22&lt;&gt;"הושלם",F22&lt;&gt;"בוטל",OR(ISNUMBER(SEARCH("אריאל",D22)),D22="כל המשפחה")),IF(K22="",99999,K22)+ROW()/100000,"")</f>
        <v/>
      </c>
      <c r="Y22" s="114">
        <f>IF(AND($A22&lt;&gt;"",F22&lt;&gt;"הושלם",F22&lt;&gt;"בוטל",OR(ISNUMBER(SEARCH("רינת",D22)),D22="כל המשפחה")),IF(K22="",99999,K22)+ROW()/100000,"")</f>
        <v/>
      </c>
      <c r="Z22" s="114">
        <f>IF(AND($A22&lt;&gt;"",F22&lt;&gt;"הושלם",F22&lt;&gt;"בוטל",OR(ISNUMBER(SEARCH("תמר",D22)))),IF(K22="",99999,K22)+ROW()/100000,"")</f>
        <v/>
      </c>
      <c r="AA22" s="114">
        <f>IF(AND($A22&lt;&gt;"",F22&lt;&gt;"הושלם",F22&lt;&gt;"בוטל",NOT(ISNUMBER(SEARCH("אריאל",D22))),NOT(ISNUMBER(SEARCH("רינת",D22))),NOT(ISNUMBER(SEARCH("תמר",D22))),D22&lt;&gt;"כל המשפחה"),IF(K22="",99999,K22)+ROW()/100000,"")</f>
        <v/>
      </c>
    </row>
    <row r="23">
      <c r="A23" s="104" t="inlineStr">
        <is>
          <t>T-033</t>
        </is>
      </c>
      <c r="B23" s="105" t="inlineStr">
        <is>
          <t>3 התקשרויות</t>
        </is>
      </c>
      <c r="C23" s="106" t="inlineStr">
        <is>
          <t>הזמנת פריטים ארוכי-אספקה</t>
        </is>
      </c>
      <c r="D23" s="105" t="inlineStr">
        <is>
          <t>אריאל</t>
        </is>
      </c>
      <c r="E23" s="107" t="inlineStr">
        <is>
          <t>בינונית</t>
        </is>
      </c>
      <c r="F23" s="107" t="inlineStr">
        <is>
          <t>לא התחיל</t>
        </is>
      </c>
      <c r="G23" s="108">
        <f>IF($A23="","",IF(AND(F23&lt;&gt;"הושלם",F23&lt;&gt;"בוטל",K23&lt;&gt;"",K23&lt;Today_),"באיחור",IF(F23="","לא התחיל",F23)))</f>
        <v/>
      </c>
      <c r="H23" s="109" t="n"/>
      <c r="I23" s="110">
        <f>IF($A23="","",IF(H23&lt;&gt;"",H23,IF(F23="הושלם",1,IF(F23="בתהליך",0.5,IF(OR(F23="ממתין",F23="תקוע"),0.25,0)))))</f>
        <v/>
      </c>
      <c r="J23" s="111">
        <f>IF(OR($A23="",O23=""),"",IF(AND(N23="K",KeyActual&lt;&gt;""),O23+(KeyActual-KeyA),IF(Scenario="B",IF(Q23="",O23,Q23),O23)))</f>
        <v/>
      </c>
      <c r="K23" s="111">
        <f>IF(OR($A23="",P23=""),"",IF(AND(N23="K",KeyActual&lt;&gt;""),P23+(KeyActual-KeyA),IF(Scenario="B",IF(R23="",P23,R23),P23)))</f>
        <v/>
      </c>
      <c r="L23" s="112">
        <f>IF(OR($A23="",K23=""),"",IF(OR(F23="הושלם",F23="בוטל"),"",K23-Today_))</f>
        <v/>
      </c>
      <c r="M23" s="105" t="inlineStr">
        <is>
          <t>T-013,T-022,T-031</t>
        </is>
      </c>
      <c r="N23" s="108" t="inlineStr">
        <is>
          <t>K</t>
        </is>
      </c>
      <c r="O23" s="113" t="n">
        <v>46357</v>
      </c>
      <c r="P23" s="113" t="n">
        <v>46378</v>
      </c>
      <c r="Q23" s="113" t="n">
        <v>46392</v>
      </c>
      <c r="R23" s="113" t="n">
        <v>46413</v>
      </c>
      <c r="S23" s="105" t="inlineStr">
        <is>
          <t>אלומיניום/חלונות, מטבח, מזגנים — רק אחרי אישורים</t>
        </is>
      </c>
      <c r="T23" s="105" t="inlineStr">
        <is>
          <t>מידות מאושרות</t>
        </is>
      </c>
      <c r="U23" s="105" t="inlineStr">
        <is>
          <t>זמני אספקה לא ידועים — לברר</t>
        </is>
      </c>
      <c r="V23" s="114">
        <f>IF(AND($A23&lt;&gt;"",F23&lt;&gt;"הושלם",F23&lt;&gt;"בוטל",J23&lt;&gt;""),IF(J23&lt;=Today_+14,IF(K23="",99999,K23)+ROW()/100000,""),"")</f>
        <v/>
      </c>
      <c r="W23" s="114">
        <f>IFERROR(IF($A23="","",CHOOSE(MATCH(G23,{"לא התחיל","בתהליך","ממתין","תקוע","באיחור","הושלם","בוטל"},0),1,2,3,3,4,5,6)*100000+IF(K23="",99999,K23)+ROW()/1000000),"")</f>
        <v/>
      </c>
      <c r="X23" s="114">
        <f>IF(AND($A23&lt;&gt;"",F23&lt;&gt;"הושלם",F23&lt;&gt;"בוטל",OR(ISNUMBER(SEARCH("אריאל",D23)),D23="כל המשפחה")),IF(K23="",99999,K23)+ROW()/100000,"")</f>
        <v/>
      </c>
      <c r="Y23" s="114">
        <f>IF(AND($A23&lt;&gt;"",F23&lt;&gt;"הושלם",F23&lt;&gt;"בוטל",OR(ISNUMBER(SEARCH("רינת",D23)),D23="כל המשפחה")),IF(K23="",99999,K23)+ROW()/100000,"")</f>
        <v/>
      </c>
      <c r="Z23" s="114">
        <f>IF(AND($A23&lt;&gt;"",F23&lt;&gt;"הושלם",F23&lt;&gt;"בוטל",OR(ISNUMBER(SEARCH("תמר",D23)))),IF(K23="",99999,K23)+ROW()/100000,"")</f>
        <v/>
      </c>
      <c r="AA23" s="114">
        <f>IF(AND($A23&lt;&gt;"",F23&lt;&gt;"הושלם",F23&lt;&gt;"בוטל",NOT(ISNUMBER(SEARCH("אריאל",D23))),NOT(ISNUMBER(SEARCH("רינת",D23))),NOT(ISNUMBER(SEARCH("תמר",D23))),D23&lt;&gt;"כל המשפחה"),IF(K23="",99999,K23)+ROW()/100000,"")</f>
        <v/>
      </c>
    </row>
    <row r="24">
      <c r="A24" s="104" t="inlineStr">
        <is>
          <t>T-040</t>
        </is>
      </c>
      <c r="B24" s="105" t="inlineStr">
        <is>
          <t>5 מערכות</t>
        </is>
      </c>
      <c r="C24" s="106" t="inlineStr">
        <is>
          <t>מיזוג: תכנון וחישוב BTU</t>
        </is>
      </c>
      <c r="D24" s="105" t="inlineStr">
        <is>
          <t>יועץ/מתקין מיזוג</t>
        </is>
      </c>
      <c r="E24" s="107" t="inlineStr">
        <is>
          <t>בינונית</t>
        </is>
      </c>
      <c r="F24" s="107" t="inlineStr">
        <is>
          <t>לא התחיל</t>
        </is>
      </c>
      <c r="G24" s="108">
        <f>IF($A24="","",IF(AND(F24&lt;&gt;"הושלם",F24&lt;&gt;"בוטל",K24&lt;&gt;"",K24&lt;Today_),"באיחור",IF(F24="","לא התחיל",F24)))</f>
        <v/>
      </c>
      <c r="H24" s="109" t="n"/>
      <c r="I24" s="110">
        <f>IF($A24="","",IF(H24&lt;&gt;"",H24,IF(F24="הושלם",1,IF(F24="בתהליך",0.5,IF(OR(F24="ממתין",F24="תקוע"),0.25,0)))))</f>
        <v/>
      </c>
      <c r="J24" s="111">
        <f>IF(OR($A24="",O24=""),"",IF(AND(N24="K",KeyActual&lt;&gt;""),O24+(KeyActual-KeyA),IF(Scenario="B",IF(Q24="",O24,Q24),O24)))</f>
        <v/>
      </c>
      <c r="K24" s="111">
        <f>IF(OR($A24="",P24=""),"",IF(AND(N24="K",KeyActual&lt;&gt;""),P24+(KeyActual-KeyA),IF(Scenario="B",IF(R24="",P24,R24),P24)))</f>
        <v/>
      </c>
      <c r="L24" s="112">
        <f>IF(OR($A24="",K24=""),"",IF(OR(F24="הושלם",F24="בוטל"),"",K24-Today_))</f>
        <v/>
      </c>
      <c r="M24" s="105" t="inlineStr">
        <is>
          <t>T-005</t>
        </is>
      </c>
      <c r="N24" s="108" t="inlineStr">
        <is>
          <t>F</t>
        </is>
      </c>
      <c r="O24" s="113" t="n">
        <v>46332</v>
      </c>
      <c r="P24" s="113" t="n">
        <v>46346</v>
      </c>
      <c r="Q24" s="113" t="n">
        <v>46332</v>
      </c>
      <c r="R24" s="113" t="n">
        <v>46346</v>
      </c>
      <c r="S24" s="105" t="inlineStr">
        <is>
          <t>רשימת חדרים + שטח/נפח, חשיפה לשמש, מערכת מיני-מרכזית מול מפוצלים</t>
        </is>
      </c>
      <c r="T24" s="105" t="inlineStr">
        <is>
          <t>מידות חדרים, תוכניות, כיווני חלונות</t>
        </is>
      </c>
      <c r="U24" s="105" t="inlineStr">
        <is>
          <t>לא נקבע עדיין סוג מערכת</t>
        </is>
      </c>
      <c r="V24" s="114">
        <f>IF(AND($A24&lt;&gt;"",F24&lt;&gt;"הושלם",F24&lt;&gt;"בוטל",J24&lt;&gt;""),IF(J24&lt;=Today_+14,IF(K24="",99999,K24)+ROW()/100000,""),"")</f>
        <v/>
      </c>
      <c r="W24" s="114">
        <f>IFERROR(IF($A24="","",CHOOSE(MATCH(G24,{"לא התחיל","בתהליך","ממתין","תקוע","באיחור","הושלם","בוטל"},0),1,2,3,3,4,5,6)*100000+IF(K24="",99999,K24)+ROW()/1000000),"")</f>
        <v/>
      </c>
      <c r="X24" s="114">
        <f>IF(AND($A24&lt;&gt;"",F24&lt;&gt;"הושלם",F24&lt;&gt;"בוטל",OR(ISNUMBER(SEARCH("אריאל",D24)),D24="כל המשפחה")),IF(K24="",99999,K24)+ROW()/100000,"")</f>
        <v/>
      </c>
      <c r="Y24" s="114">
        <f>IF(AND($A24&lt;&gt;"",F24&lt;&gt;"הושלם",F24&lt;&gt;"בוטל",OR(ISNUMBER(SEARCH("רינת",D24)),D24="כל המשפחה")),IF(K24="",99999,K24)+ROW()/100000,"")</f>
        <v/>
      </c>
      <c r="Z24" s="114">
        <f>IF(AND($A24&lt;&gt;"",F24&lt;&gt;"הושלם",F24&lt;&gt;"בוטל",OR(ISNUMBER(SEARCH("תמר",D24)))),IF(K24="",99999,K24)+ROW()/100000,"")</f>
        <v/>
      </c>
      <c r="AA24" s="114">
        <f>IF(AND($A24&lt;&gt;"",F24&lt;&gt;"הושלם",F24&lt;&gt;"בוטל",NOT(ISNUMBER(SEARCH("אריאל",D24))),NOT(ISNUMBER(SEARCH("רינת",D24))),NOT(ISNUMBER(SEARCH("תמר",D24))),D24&lt;&gt;"כל המשפחה"),IF(K24="",99999,K24)+ROW()/100000,"")</f>
        <v/>
      </c>
    </row>
    <row r="25">
      <c r="A25" s="104" t="inlineStr">
        <is>
          <t>T-041</t>
        </is>
      </c>
      <c r="B25" s="105" t="inlineStr">
        <is>
          <t>5 מערכות</t>
        </is>
      </c>
      <c r="C25" s="106" t="inlineStr">
        <is>
          <t>מיזוג: מיקום מעבים ונקודות חשמל</t>
        </is>
      </c>
      <c r="D25" s="105" t="inlineStr">
        <is>
          <t>מתקין מיזוג+חשמלאי</t>
        </is>
      </c>
      <c r="E25" s="107" t="inlineStr">
        <is>
          <t>בינונית</t>
        </is>
      </c>
      <c r="F25" s="107" t="inlineStr">
        <is>
          <t>לא התחיל</t>
        </is>
      </c>
      <c r="G25" s="108">
        <f>IF($A25="","",IF(AND(F25&lt;&gt;"הושלם",F25&lt;&gt;"בוטל",K25&lt;&gt;"",K25&lt;Today_),"באיחור",IF(F25="","לא התחיל",F25)))</f>
        <v/>
      </c>
      <c r="H25" s="109" t="n"/>
      <c r="I25" s="110">
        <f>IF($A25="","",IF(H25&lt;&gt;"",H25,IF(F25="הושלם",1,IF(F25="בתהליך",0.5,IF(OR(F25="ממתין",F25="תקוע"),0.25,0)))))</f>
        <v/>
      </c>
      <c r="J25" s="111">
        <f>IF(OR($A25="",O25=""),"",IF(AND(N25="K",KeyActual&lt;&gt;""),O25+(KeyActual-KeyA),IF(Scenario="B",IF(Q25="",O25,Q25),O25)))</f>
        <v/>
      </c>
      <c r="K25" s="111">
        <f>IF(OR($A25="",P25=""),"",IF(AND(N25="K",KeyActual&lt;&gt;""),P25+(KeyActual-KeyA),IF(Scenario="B",IF(R25="",P25,R25),P25)))</f>
        <v/>
      </c>
      <c r="L25" s="112">
        <f>IF(OR($A25="",K25=""),"",IF(OR(F25="הושלם",F25="בוטל"),"",K25-Today_))</f>
        <v/>
      </c>
      <c r="M25" s="105" t="inlineStr">
        <is>
          <t>T-040</t>
        </is>
      </c>
      <c r="N25" s="108" t="inlineStr">
        <is>
          <t>F</t>
        </is>
      </c>
      <c r="O25" s="113" t="n">
        <v>46341</v>
      </c>
      <c r="P25" s="113" t="n">
        <v>46356</v>
      </c>
      <c r="Q25" s="113" t="n">
        <v>46341</v>
      </c>
      <c r="R25" s="113" t="n">
        <v>46356</v>
      </c>
      <c r="S25" s="105" t="inlineStr">
        <is>
          <t>מיקום יחידות חוץ (רעש לשכנים, קו בניין), נקודת חשמל ייעודית, ניקוז</t>
        </is>
      </c>
      <c r="T25" s="105" t="inlineStr">
        <is>
          <t>תוכנית חזיתות, לוח חשמל</t>
        </is>
      </c>
      <c r="U25" s="105" t="inlineStr">
        <is>
          <t>לתאם עם מרפסת/קליניקה</t>
        </is>
      </c>
      <c r="V25" s="114">
        <f>IF(AND($A25&lt;&gt;"",F25&lt;&gt;"הושלם",F25&lt;&gt;"בוטל",J25&lt;&gt;""),IF(J25&lt;=Today_+14,IF(K25="",99999,K25)+ROW()/100000,""),"")</f>
        <v/>
      </c>
      <c r="W25" s="114">
        <f>IFERROR(IF($A25="","",CHOOSE(MATCH(G25,{"לא התחיל","בתהליך","ממתין","תקוע","באיחור","הושלם","בוטל"},0),1,2,3,3,4,5,6)*100000+IF(K25="",99999,K25)+ROW()/1000000),"")</f>
        <v/>
      </c>
      <c r="X25" s="114">
        <f>IF(AND($A25&lt;&gt;"",F25&lt;&gt;"הושלם",F25&lt;&gt;"בוטל",OR(ISNUMBER(SEARCH("אריאל",D25)),D25="כל המשפחה")),IF(K25="",99999,K25)+ROW()/100000,"")</f>
        <v/>
      </c>
      <c r="Y25" s="114">
        <f>IF(AND($A25&lt;&gt;"",F25&lt;&gt;"הושלם",F25&lt;&gt;"בוטל",OR(ISNUMBER(SEARCH("רינת",D25)),D25="כל המשפחה")),IF(K25="",99999,K25)+ROW()/100000,"")</f>
        <v/>
      </c>
      <c r="Z25" s="114">
        <f>IF(AND($A25&lt;&gt;"",F25&lt;&gt;"הושלם",F25&lt;&gt;"בוטל",OR(ISNUMBER(SEARCH("תמר",D25)))),IF(K25="",99999,K25)+ROW()/100000,"")</f>
        <v/>
      </c>
      <c r="AA25" s="114">
        <f>IF(AND($A25&lt;&gt;"",F25&lt;&gt;"הושלם",F25&lt;&gt;"בוטל",NOT(ISNUMBER(SEARCH("אריאל",D25))),NOT(ISNUMBER(SEARCH("רינת",D25))),NOT(ISNUMBER(SEARCH("תמר",D25))),D25&lt;&gt;"כל המשפחה"),IF(K25="",99999,K25)+ROW()/100000,"")</f>
        <v/>
      </c>
    </row>
    <row r="26">
      <c r="A26" s="104" t="inlineStr">
        <is>
          <t>T-042</t>
        </is>
      </c>
      <c r="B26" s="105" t="inlineStr">
        <is>
          <t>5 מערכות</t>
        </is>
      </c>
      <c r="C26" s="106" t="inlineStr">
        <is>
          <t>מיזוג: 3 הצעות מחיר והזמנה</t>
        </is>
      </c>
      <c r="D26" s="105" t="inlineStr">
        <is>
          <t>אריאל</t>
        </is>
      </c>
      <c r="E26" s="107" t="inlineStr">
        <is>
          <t>בינונית</t>
        </is>
      </c>
      <c r="F26" s="107" t="inlineStr">
        <is>
          <t>לא התחיל</t>
        </is>
      </c>
      <c r="G26" s="108">
        <f>IF($A26="","",IF(AND(F26&lt;&gt;"הושלם",F26&lt;&gt;"בוטל",K26&lt;&gt;"",K26&lt;Today_),"באיחור",IF(F26="","לא התחיל",F26)))</f>
        <v/>
      </c>
      <c r="H26" s="109" t="n"/>
      <c r="I26" s="110">
        <f>IF($A26="","",IF(H26&lt;&gt;"",H26,IF(F26="הושלם",1,IF(F26="בתהליך",0.5,IF(OR(F26="ממתין",F26="תקוע"),0.25,0)))))</f>
        <v/>
      </c>
      <c r="J26" s="111">
        <f>IF(OR($A26="",O26=""),"",IF(AND(N26="K",KeyActual&lt;&gt;""),O26+(KeyActual-KeyA),IF(Scenario="B",IF(Q26="",O26,Q26),O26)))</f>
        <v/>
      </c>
      <c r="K26" s="111">
        <f>IF(OR($A26="",P26=""),"",IF(AND(N26="K",KeyActual&lt;&gt;""),P26+(KeyActual-KeyA),IF(Scenario="B",IF(R26="",P26,R26),P26)))</f>
        <v/>
      </c>
      <c r="L26" s="112">
        <f>IF(OR($A26="",K26=""),"",IF(OR(F26="הושלם",F26="בוטל"),"",K26-Today_))</f>
        <v/>
      </c>
      <c r="M26" s="105" t="inlineStr">
        <is>
          <t>T-041</t>
        </is>
      </c>
      <c r="N26" s="108" t="inlineStr">
        <is>
          <t>F</t>
        </is>
      </c>
      <c r="O26" s="113" t="n">
        <v>46346</v>
      </c>
      <c r="P26" s="113" t="n">
        <v>46371</v>
      </c>
      <c r="Q26" s="113" t="n">
        <v>46346</v>
      </c>
      <c r="R26" s="113" t="n">
        <v>46371</v>
      </c>
      <c r="S26" s="105" t="inlineStr">
        <is>
          <t>השוואה: יחידות, צנרת, התקנה, אחריות, מע"מ</t>
        </is>
      </c>
      <c r="T26" s="105" t="inlineStr">
        <is>
          <t>מפרט מ-T-040/41</t>
        </is>
      </c>
      <c r="U26" s="105" t="inlineStr">
        <is>
          <t>הזמנה רק באישור מפורש</t>
        </is>
      </c>
      <c r="V26" s="114">
        <f>IF(AND($A26&lt;&gt;"",F26&lt;&gt;"הושלם",F26&lt;&gt;"בוטל",J26&lt;&gt;""),IF(J26&lt;=Today_+14,IF(K26="",99999,K26)+ROW()/100000,""),"")</f>
        <v/>
      </c>
      <c r="W26" s="114">
        <f>IFERROR(IF($A26="","",CHOOSE(MATCH(G26,{"לא התחיל","בתהליך","ממתין","תקוע","באיחור","הושלם","בוטל"},0),1,2,3,3,4,5,6)*100000+IF(K26="",99999,K26)+ROW()/1000000),"")</f>
        <v/>
      </c>
      <c r="X26" s="114">
        <f>IF(AND($A26&lt;&gt;"",F26&lt;&gt;"הושלם",F26&lt;&gt;"בוטל",OR(ISNUMBER(SEARCH("אריאל",D26)),D26="כל המשפחה")),IF(K26="",99999,K26)+ROW()/100000,"")</f>
        <v/>
      </c>
      <c r="Y26" s="114">
        <f>IF(AND($A26&lt;&gt;"",F26&lt;&gt;"הושלם",F26&lt;&gt;"בוטל",OR(ISNUMBER(SEARCH("רינת",D26)),D26="כל המשפחה")),IF(K26="",99999,K26)+ROW()/100000,"")</f>
        <v/>
      </c>
      <c r="Z26" s="114">
        <f>IF(AND($A26&lt;&gt;"",F26&lt;&gt;"הושלם",F26&lt;&gt;"בוטל",OR(ISNUMBER(SEARCH("תמר",D26)))),IF(K26="",99999,K26)+ROW()/100000,"")</f>
        <v/>
      </c>
      <c r="AA26" s="114">
        <f>IF(AND($A26&lt;&gt;"",F26&lt;&gt;"הושלם",F26&lt;&gt;"בוטל",NOT(ISNUMBER(SEARCH("אריאל",D26))),NOT(ISNUMBER(SEARCH("רינת",D26))),NOT(ISNUMBER(SEARCH("תמר",D26))),D26&lt;&gt;"כל המשפחה"),IF(K26="",99999,K26)+ROW()/100000,"")</f>
        <v/>
      </c>
    </row>
    <row r="27">
      <c r="A27" s="104" t="inlineStr">
        <is>
          <t>T-043</t>
        </is>
      </c>
      <c r="B27" s="105" t="inlineStr">
        <is>
          <t>5 מערכות</t>
        </is>
      </c>
      <c r="C27" s="106" t="inlineStr">
        <is>
          <t>מיזוג: התקנת הכנות (צנרת) בזמן עבודות</t>
        </is>
      </c>
      <c r="D27" s="105" t="inlineStr">
        <is>
          <t>מתקין מיזוג</t>
        </is>
      </c>
      <c r="E27" s="107" t="inlineStr">
        <is>
          <t>בינונית</t>
        </is>
      </c>
      <c r="F27" s="107" t="inlineStr">
        <is>
          <t>לא התחיל</t>
        </is>
      </c>
      <c r="G27" s="108">
        <f>IF($A27="","",IF(AND(F27&lt;&gt;"הושלם",F27&lt;&gt;"בוטל",K27&lt;&gt;"",K27&lt;Today_),"באיחור",IF(F27="","לא התחיל",F27)))</f>
        <v/>
      </c>
      <c r="H27" s="109" t="n"/>
      <c r="I27" s="110">
        <f>IF($A27="","",IF(H27&lt;&gt;"",H27,IF(F27="הושלם",1,IF(F27="בתהליך",0.5,IF(OR(F27="ממתין",F27="תקוע"),0.25,0)))))</f>
        <v/>
      </c>
      <c r="J27" s="111">
        <f>IF(OR($A27="",O27=""),"",IF(AND(N27="K",KeyActual&lt;&gt;""),O27+(KeyActual-KeyA),IF(Scenario="B",IF(Q27="",O27,Q27),O27)))</f>
        <v/>
      </c>
      <c r="K27" s="111">
        <f>IF(OR($A27="",P27=""),"",IF(AND(N27="K",KeyActual&lt;&gt;""),P27+(KeyActual-KeyA),IF(Scenario="B",IF(R27="",P27,R27),P27)))</f>
        <v/>
      </c>
      <c r="L27" s="112">
        <f>IF(OR($A27="",K27=""),"",IF(OR(F27="הושלם",F27="בוטל"),"",K27-Today_))</f>
        <v/>
      </c>
      <c r="M27" s="105" t="inlineStr">
        <is>
          <t>T-042,T-031</t>
        </is>
      </c>
      <c r="N27" s="108" t="inlineStr">
        <is>
          <t>K</t>
        </is>
      </c>
      <c r="O27" s="113" t="n">
        <v>46371</v>
      </c>
      <c r="P27" s="113" t="n">
        <v>46392</v>
      </c>
      <c r="Q27" s="113" t="n">
        <v>46406</v>
      </c>
      <c r="R27" s="113" t="n">
        <v>46427</v>
      </c>
      <c r="S27" s="105" t="inlineStr">
        <is>
          <t>צנרת גז/ניקוז/חשמל לפני טיח/תקרה</t>
        </is>
      </c>
      <c r="T27" s="105" t="inlineStr">
        <is>
          <t>תוכנית תיאום מערכות</t>
        </is>
      </c>
      <c r="U27" s="105" t="inlineStr">
        <is>
          <t>חייב לפני גמר</t>
        </is>
      </c>
      <c r="V27" s="114">
        <f>IF(AND($A27&lt;&gt;"",F27&lt;&gt;"הושלם",F27&lt;&gt;"בוטל",J27&lt;&gt;""),IF(J27&lt;=Today_+14,IF(K27="",99999,K27)+ROW()/100000,""),"")</f>
        <v/>
      </c>
      <c r="W27" s="114">
        <f>IFERROR(IF($A27="","",CHOOSE(MATCH(G27,{"לא התחיל","בתהליך","ממתין","תקוע","באיחור","הושלם","בוטל"},0),1,2,3,3,4,5,6)*100000+IF(K27="",99999,K27)+ROW()/1000000),"")</f>
        <v/>
      </c>
      <c r="X27" s="114">
        <f>IF(AND($A27&lt;&gt;"",F27&lt;&gt;"הושלם",F27&lt;&gt;"בוטל",OR(ISNUMBER(SEARCH("אריאל",D27)),D27="כל המשפחה")),IF(K27="",99999,K27)+ROW()/100000,"")</f>
        <v/>
      </c>
      <c r="Y27" s="114">
        <f>IF(AND($A27&lt;&gt;"",F27&lt;&gt;"הושלם",F27&lt;&gt;"בוטל",OR(ISNUMBER(SEARCH("רינת",D27)),D27="כל המשפחה")),IF(K27="",99999,K27)+ROW()/100000,"")</f>
        <v/>
      </c>
      <c r="Z27" s="114">
        <f>IF(AND($A27&lt;&gt;"",F27&lt;&gt;"הושלם",F27&lt;&gt;"בוטל",OR(ISNUMBER(SEARCH("תמר",D27)))),IF(K27="",99999,K27)+ROW()/100000,"")</f>
        <v/>
      </c>
      <c r="AA27" s="114">
        <f>IF(AND($A27&lt;&gt;"",F27&lt;&gt;"הושלם",F27&lt;&gt;"בוטל",NOT(ISNUMBER(SEARCH("אריאל",D27))),NOT(ISNUMBER(SEARCH("רינת",D27))),NOT(ISNUMBER(SEARCH("תמר",D27))),D27&lt;&gt;"כל המשפחה"),IF(K27="",99999,K27)+ROW()/100000,"")</f>
        <v/>
      </c>
    </row>
    <row r="28">
      <c r="A28" s="104" t="inlineStr">
        <is>
          <t>T-044</t>
        </is>
      </c>
      <c r="B28" s="105" t="inlineStr">
        <is>
          <t>5 מערכות</t>
        </is>
      </c>
      <c r="C28" s="106" t="inlineStr">
        <is>
          <t>מיזוג: התקנת יחידות והפעלה</t>
        </is>
      </c>
      <c r="D28" s="105" t="inlineStr">
        <is>
          <t>מתקין מיזוג</t>
        </is>
      </c>
      <c r="E28" s="107" t="inlineStr">
        <is>
          <t>בינונית</t>
        </is>
      </c>
      <c r="F28" s="107" t="inlineStr">
        <is>
          <t>לא התחיל</t>
        </is>
      </c>
      <c r="G28" s="108">
        <f>IF($A28="","",IF(AND(F28&lt;&gt;"הושלם",F28&lt;&gt;"בוטל",K28&lt;&gt;"",K28&lt;Today_),"באיחור",IF(F28="","לא התחיל",F28)))</f>
        <v/>
      </c>
      <c r="H28" s="109" t="n"/>
      <c r="I28" s="110">
        <f>IF($A28="","",IF(H28&lt;&gt;"",H28,IF(F28="הושלם",1,IF(F28="בתהליך",0.5,IF(OR(F28="ממתין",F28="תקוע"),0.25,0)))))</f>
        <v/>
      </c>
      <c r="J28" s="111">
        <f>IF(OR($A28="",O28=""),"",IF(AND(N28="K",KeyActual&lt;&gt;""),O28+(KeyActual-KeyA),IF(Scenario="B",IF(Q28="",O28,Q28),O28)))</f>
        <v/>
      </c>
      <c r="K28" s="111">
        <f>IF(OR($A28="",P28=""),"",IF(AND(N28="K",KeyActual&lt;&gt;""),P28+(KeyActual-KeyA),IF(Scenario="B",IF(R28="",P28,R28),P28)))</f>
        <v/>
      </c>
      <c r="L28" s="112">
        <f>IF(OR($A28="",K28=""),"",IF(OR(F28="הושלם",F28="בוטל"),"",K28-Today_))</f>
        <v/>
      </c>
      <c r="M28" s="105" t="inlineStr">
        <is>
          <t>T-043</t>
        </is>
      </c>
      <c r="N28" s="108" t="inlineStr">
        <is>
          <t>K</t>
        </is>
      </c>
      <c r="O28" s="113" t="n">
        <v>46413</v>
      </c>
      <c r="P28" s="113" t="n">
        <v>46427</v>
      </c>
      <c r="Q28" s="113" t="n">
        <v>46448</v>
      </c>
      <c r="R28" s="113" t="n">
        <v>46462</v>
      </c>
      <c r="S28" s="105" t="inlineStr">
        <is>
          <t>אחרי צבע/ניקיון גס</t>
        </is>
      </c>
      <c r="T28" s="105" t="n"/>
      <c r="U28" s="105" t="inlineStr">
        <is>
          <t>הנחה: גמר ~8 שבועות אחרי מפתח</t>
        </is>
      </c>
      <c r="V28" s="114">
        <f>IF(AND($A28&lt;&gt;"",F28&lt;&gt;"הושלם",F28&lt;&gt;"בוטל",J28&lt;&gt;""),IF(J28&lt;=Today_+14,IF(K28="",99999,K28)+ROW()/100000,""),"")</f>
        <v/>
      </c>
      <c r="W28" s="114">
        <f>IFERROR(IF($A28="","",CHOOSE(MATCH(G28,{"לא התחיל","בתהליך","ממתין","תקוע","באיחור","הושלם","בוטל"},0),1,2,3,3,4,5,6)*100000+IF(K28="",99999,K28)+ROW()/1000000),"")</f>
        <v/>
      </c>
      <c r="X28" s="114">
        <f>IF(AND($A28&lt;&gt;"",F28&lt;&gt;"הושלם",F28&lt;&gt;"בוטל",OR(ISNUMBER(SEARCH("אריאל",D28)),D28="כל המשפחה")),IF(K28="",99999,K28)+ROW()/100000,"")</f>
        <v/>
      </c>
      <c r="Y28" s="114">
        <f>IF(AND($A28&lt;&gt;"",F28&lt;&gt;"הושלם",F28&lt;&gt;"בוטל",OR(ISNUMBER(SEARCH("רינת",D28)),D28="כל המשפחה")),IF(K28="",99999,K28)+ROW()/100000,"")</f>
        <v/>
      </c>
      <c r="Z28" s="114">
        <f>IF(AND($A28&lt;&gt;"",F28&lt;&gt;"הושלם",F28&lt;&gt;"בוטל",OR(ISNUMBER(SEARCH("תמר",D28)))),IF(K28="",99999,K28)+ROW()/100000,"")</f>
        <v/>
      </c>
      <c r="AA28" s="114">
        <f>IF(AND($A28&lt;&gt;"",F28&lt;&gt;"הושלם",F28&lt;&gt;"בוטל",NOT(ISNUMBER(SEARCH("אריאל",D28))),NOT(ISNUMBER(SEARCH("רינת",D28))),NOT(ISNUMBER(SEARCH("תמר",D28))),D28&lt;&gt;"כל המשפחה"),IF(K28="",99999,K28)+ROW()/100000,"")</f>
        <v/>
      </c>
    </row>
    <row r="29">
      <c r="A29" s="104" t="inlineStr">
        <is>
          <t>T-050</t>
        </is>
      </c>
      <c r="B29" s="105" t="inlineStr">
        <is>
          <t>4 שלד ופתחים</t>
        </is>
      </c>
      <c r="C29" s="106" t="inlineStr">
        <is>
          <t>בדיקת מסירה ופרוטוקול</t>
        </is>
      </c>
      <c r="D29" s="105" t="inlineStr">
        <is>
          <t>אריאל+רינת</t>
        </is>
      </c>
      <c r="E29" s="107" t="inlineStr">
        <is>
          <t>גבוהה</t>
        </is>
      </c>
      <c r="F29" s="107" t="inlineStr">
        <is>
          <t>לא התחיל</t>
        </is>
      </c>
      <c r="G29" s="108">
        <f>IF($A29="","",IF(AND(F29&lt;&gt;"הושלם",F29&lt;&gt;"בוטל",K29&lt;&gt;"",K29&lt;Today_),"באיחור",IF(F29="","לא התחיל",F29)))</f>
        <v/>
      </c>
      <c r="H29" s="109" t="n"/>
      <c r="I29" s="110">
        <f>IF($A29="","",IF(H29&lt;&gt;"",H29,IF(F29="הושלם",1,IF(F29="בתהליך",0.5,IF(OR(F29="ממתין",F29="תקוע"),0.25,0)))))</f>
        <v/>
      </c>
      <c r="J29" s="111">
        <f>IF(OR($A29="",O29=""),"",IF(AND(N29="K",KeyActual&lt;&gt;""),O29+(KeyActual-KeyA),IF(Scenario="B",IF(Q29="",O29,Q29),O29)))</f>
        <v/>
      </c>
      <c r="K29" s="111">
        <f>IF(OR($A29="",P29=""),"",IF(AND(N29="K",KeyActual&lt;&gt;""),P29+(KeyActual-KeyA),IF(Scenario="B",IF(R29="",P29,R29),P29)))</f>
        <v/>
      </c>
      <c r="L29" s="112">
        <f>IF(OR($A29="",K29=""),"",IF(OR(F29="הושלם",F29="בוטל"),"",K29-Today_))</f>
        <v/>
      </c>
      <c r="M29" s="105" t="inlineStr">
        <is>
          <t>T-004</t>
        </is>
      </c>
      <c r="N29" s="108" t="inlineStr">
        <is>
          <t>K</t>
        </is>
      </c>
      <c r="O29" s="113" t="n">
        <v>46357</v>
      </c>
      <c r="P29" s="113" t="n">
        <v>46358</v>
      </c>
      <c r="Q29" s="113" t="n">
        <v>46392</v>
      </c>
      <c r="R29" s="113" t="n">
        <v>46393</v>
      </c>
      <c r="S29" s="105" t="inlineStr">
        <is>
          <t>בדק בית/מעבר על ליקויים, קריאת מונים, צילום מצב</t>
        </is>
      </c>
      <c r="T29" s="105" t="inlineStr">
        <is>
          <t>צ'קליסט, מצלמה</t>
        </is>
      </c>
      <c r="U29" s="105" t="inlineStr">
        <is>
          <t>יום המפתח | 11.10(2): השיפוץ אחרי מסירה (אושר ע"י אריאל) — פרוטוקול מסירה מפורט חיוני לשמירת האחריות</t>
        </is>
      </c>
      <c r="V29" s="114">
        <f>IF(AND($A29&lt;&gt;"",F29&lt;&gt;"הושלם",F29&lt;&gt;"בוטל",J29&lt;&gt;""),IF(J29&lt;=Today_+14,IF(K29="",99999,K29)+ROW()/100000,""),"")</f>
        <v/>
      </c>
      <c r="W29" s="114">
        <f>IFERROR(IF($A29="","",CHOOSE(MATCH(G29,{"לא התחיל","בתהליך","ממתין","תקוע","באיחור","הושלם","בוטל"},0),1,2,3,3,4,5,6)*100000+IF(K29="",99999,K29)+ROW()/1000000),"")</f>
        <v/>
      </c>
      <c r="X29" s="114">
        <f>IF(AND($A29&lt;&gt;"",F29&lt;&gt;"הושלם",F29&lt;&gt;"בוטל",OR(ISNUMBER(SEARCH("אריאל",D29)),D29="כל המשפחה")),IF(K29="",99999,K29)+ROW()/100000,"")</f>
        <v/>
      </c>
      <c r="Y29" s="114">
        <f>IF(AND($A29&lt;&gt;"",F29&lt;&gt;"הושלם",F29&lt;&gt;"בוטל",OR(ISNUMBER(SEARCH("רינת",D29)),D29="כל המשפחה")),IF(K29="",99999,K29)+ROW()/100000,"")</f>
        <v/>
      </c>
      <c r="Z29" s="114">
        <f>IF(AND($A29&lt;&gt;"",F29&lt;&gt;"הושלם",F29&lt;&gt;"בוטל",OR(ISNUMBER(SEARCH("תמר",D29)))),IF(K29="",99999,K29)+ROW()/100000,"")</f>
        <v/>
      </c>
      <c r="AA29" s="114">
        <f>IF(AND($A29&lt;&gt;"",F29&lt;&gt;"הושלם",F29&lt;&gt;"בוטל",NOT(ISNUMBER(SEARCH("אריאל",D29))),NOT(ISNUMBER(SEARCH("רינת",D29))),NOT(ISNUMBER(SEARCH("תמר",D29))),D29&lt;&gt;"כל המשפחה"),IF(K29="",99999,K29)+ROW()/100000,"")</f>
        <v/>
      </c>
    </row>
    <row r="30">
      <c r="A30" s="104" t="inlineStr">
        <is>
          <t>T-051</t>
        </is>
      </c>
      <c r="B30" s="105" t="inlineStr">
        <is>
          <t>4 שלד ופתחים</t>
        </is>
      </c>
      <c r="C30" s="106" t="inlineStr">
        <is>
          <t>הרחבת חלונות / פתחים</t>
        </is>
      </c>
      <c r="D30" s="105" t="inlineStr">
        <is>
          <t>קבלן</t>
        </is>
      </c>
      <c r="E30" s="107" t="inlineStr">
        <is>
          <t>בינונית</t>
        </is>
      </c>
      <c r="F30" s="107" t="inlineStr">
        <is>
          <t>לא התחיל</t>
        </is>
      </c>
      <c r="G30" s="108">
        <f>IF($A30="","",IF(AND(F30&lt;&gt;"הושלם",F30&lt;&gt;"בוטל",K30&lt;&gt;"",K30&lt;Today_),"באיחור",IF(F30="","לא התחיל",F30)))</f>
        <v/>
      </c>
      <c r="H30" s="109" t="n"/>
      <c r="I30" s="110">
        <f>IF($A30="","",IF(H30&lt;&gt;"",H30,IF(F30="הושלם",1,IF(F30="בתהליך",0.5,IF(OR(F30="ממתין",F30="תקוע"),0.25,0)))))</f>
        <v/>
      </c>
      <c r="J30" s="111">
        <f>IF(OR($A30="",O30=""),"",IF(AND(N30="K",KeyActual&lt;&gt;""),O30+(KeyActual-KeyA),IF(Scenario="B",IF(Q30="",O30,Q30),O30)))</f>
        <v/>
      </c>
      <c r="K30" s="111">
        <f>IF(OR($A30="",P30=""),"",IF(AND(N30="K",KeyActual&lt;&gt;""),P30+(KeyActual-KeyA),IF(Scenario="B",IF(R30="",P30,R30),P30)))</f>
        <v/>
      </c>
      <c r="L30" s="112">
        <f>IF(OR($A30="",K30=""),"",IF(OR(F30="הושלם",F30="בוטל"),"",K30-Today_))</f>
        <v/>
      </c>
      <c r="M30" s="105" t="inlineStr">
        <is>
          <t>T-013,T-031,T-033</t>
        </is>
      </c>
      <c r="N30" s="108" t="inlineStr">
        <is>
          <t>K</t>
        </is>
      </c>
      <c r="O30" s="113" t="n">
        <v>46371</v>
      </c>
      <c r="P30" s="113" t="n">
        <v>46392</v>
      </c>
      <c r="Q30" s="113" t="n">
        <v>46406</v>
      </c>
      <c r="R30" s="113" t="n">
        <v>46427</v>
      </c>
      <c r="S30" s="105" t="inlineStr">
        <is>
          <t>רק לפי אישור מהנדס</t>
        </is>
      </c>
      <c r="T30" s="105" t="inlineStr">
        <is>
          <t>היתר אם נדרש</t>
        </is>
      </c>
      <c r="U30" s="105" t="inlineStr">
        <is>
          <t>לוח זמן — הנחה</t>
        </is>
      </c>
      <c r="V30" s="114">
        <f>IF(AND($A30&lt;&gt;"",F30&lt;&gt;"הושלם",F30&lt;&gt;"בוטל",J30&lt;&gt;""),IF(J30&lt;=Today_+14,IF(K30="",99999,K30)+ROW()/100000,""),"")</f>
        <v/>
      </c>
      <c r="W30" s="114">
        <f>IFERROR(IF($A30="","",CHOOSE(MATCH(G30,{"לא התחיל","בתהליך","ממתין","תקוע","באיחור","הושלם","בוטל"},0),1,2,3,3,4,5,6)*100000+IF(K30="",99999,K30)+ROW()/1000000),"")</f>
        <v/>
      </c>
      <c r="X30" s="114">
        <f>IF(AND($A30&lt;&gt;"",F30&lt;&gt;"הושלם",F30&lt;&gt;"בוטל",OR(ISNUMBER(SEARCH("אריאל",D30)),D30="כל המשפחה")),IF(K30="",99999,K30)+ROW()/100000,"")</f>
        <v/>
      </c>
      <c r="Y30" s="114">
        <f>IF(AND($A30&lt;&gt;"",F30&lt;&gt;"הושלם",F30&lt;&gt;"בוטל",OR(ISNUMBER(SEARCH("רינת",D30)),D30="כל המשפחה")),IF(K30="",99999,K30)+ROW()/100000,"")</f>
        <v/>
      </c>
      <c r="Z30" s="114">
        <f>IF(AND($A30&lt;&gt;"",F30&lt;&gt;"הושלם",F30&lt;&gt;"בוטל",OR(ISNUMBER(SEARCH("תמר",D30)))),IF(K30="",99999,K30)+ROW()/100000,"")</f>
        <v/>
      </c>
      <c r="AA30" s="114">
        <f>IF(AND($A30&lt;&gt;"",F30&lt;&gt;"הושלם",F30&lt;&gt;"בוטל",NOT(ISNUMBER(SEARCH("אריאל",D30))),NOT(ISNUMBER(SEARCH("רינת",D30))),NOT(ISNUMBER(SEARCH("תמר",D30))),D30&lt;&gt;"כל המשפחה"),IF(K30="",99999,K30)+ROW()/100000,"")</f>
        <v/>
      </c>
    </row>
    <row r="31">
      <c r="A31" s="104" t="inlineStr">
        <is>
          <t>T-052</t>
        </is>
      </c>
      <c r="B31" s="105" t="inlineStr">
        <is>
          <t>5 מערכות</t>
        </is>
      </c>
      <c r="C31" s="106" t="inlineStr">
        <is>
          <t>חשמל ואינסטלציה (כולל מטבח)</t>
        </is>
      </c>
      <c r="D31" s="105" t="inlineStr">
        <is>
          <t>קבלן</t>
        </is>
      </c>
      <c r="E31" s="107" t="inlineStr">
        <is>
          <t>בינונית</t>
        </is>
      </c>
      <c r="F31" s="107" t="inlineStr">
        <is>
          <t>לא התחיל</t>
        </is>
      </c>
      <c r="G31" s="108">
        <f>IF($A31="","",IF(AND(F31&lt;&gt;"הושלם",F31&lt;&gt;"בוטל",K31&lt;&gt;"",K31&lt;Today_),"באיחור",IF(F31="","לא התחיל",F31)))</f>
        <v/>
      </c>
      <c r="H31" s="109" t="n"/>
      <c r="I31" s="110">
        <f>IF($A31="","",IF(H31&lt;&gt;"",H31,IF(F31="הושלם",1,IF(F31="בתהליך",0.5,IF(OR(F31="ממתין",F31="תקוע"),0.25,0)))))</f>
        <v/>
      </c>
      <c r="J31" s="111">
        <f>IF(OR($A31="",O31=""),"",IF(AND(N31="K",KeyActual&lt;&gt;""),O31+(KeyActual-KeyA),IF(Scenario="B",IF(Q31="",O31,Q31),O31)))</f>
        <v/>
      </c>
      <c r="K31" s="111">
        <f>IF(OR($A31="",P31=""),"",IF(AND(N31="K",KeyActual&lt;&gt;""),P31+(KeyActual-KeyA),IF(Scenario="B",IF(R31="",P31,R31),P31)))</f>
        <v/>
      </c>
      <c r="L31" s="112">
        <f>IF(OR($A31="",K31=""),"",IF(OR(F31="הושלם",F31="בוטל"),"",K31-Today_))</f>
        <v/>
      </c>
      <c r="M31" s="105" t="inlineStr">
        <is>
          <t>T-022,T-031</t>
        </is>
      </c>
      <c r="N31" s="108" t="inlineStr">
        <is>
          <t>K</t>
        </is>
      </c>
      <c r="O31" s="113" t="n">
        <v>46367</v>
      </c>
      <c r="P31" s="113" t="n">
        <v>46392</v>
      </c>
      <c r="Q31" s="113" t="n">
        <v>46402</v>
      </c>
      <c r="R31" s="113" t="n">
        <v>46427</v>
      </c>
      <c r="S31" s="105" t="inlineStr">
        <is>
          <t>לפי תכנון מטבח וגופי תאורה</t>
        </is>
      </c>
      <c r="T31" s="105" t="inlineStr">
        <is>
          <t>תוכנית נקודות</t>
        </is>
      </c>
      <c r="U31" s="105" t="inlineStr">
        <is>
          <t>הנחה</t>
        </is>
      </c>
      <c r="V31" s="114">
        <f>IF(AND($A31&lt;&gt;"",F31&lt;&gt;"הושלם",F31&lt;&gt;"בוטל",J31&lt;&gt;""),IF(J31&lt;=Today_+14,IF(K31="",99999,K31)+ROW()/100000,""),"")</f>
        <v/>
      </c>
      <c r="W31" s="114">
        <f>IFERROR(IF($A31="","",CHOOSE(MATCH(G31,{"לא התחיל","בתהליך","ממתין","תקוע","באיחור","הושלם","בוטל"},0),1,2,3,3,4,5,6)*100000+IF(K31="",99999,K31)+ROW()/1000000),"")</f>
        <v/>
      </c>
      <c r="X31" s="114">
        <f>IF(AND($A31&lt;&gt;"",F31&lt;&gt;"הושלם",F31&lt;&gt;"בוטל",OR(ISNUMBER(SEARCH("אריאל",D31)),D31="כל המשפחה")),IF(K31="",99999,K31)+ROW()/100000,"")</f>
        <v/>
      </c>
      <c r="Y31" s="114">
        <f>IF(AND($A31&lt;&gt;"",F31&lt;&gt;"הושלם",F31&lt;&gt;"בוטל",OR(ISNUMBER(SEARCH("רינת",D31)),D31="כל המשפחה")),IF(K31="",99999,K31)+ROW()/100000,"")</f>
        <v/>
      </c>
      <c r="Z31" s="114">
        <f>IF(AND($A31&lt;&gt;"",F31&lt;&gt;"הושלם",F31&lt;&gt;"בוטל",OR(ISNUMBER(SEARCH("תמר",D31)))),IF(K31="",99999,K31)+ROW()/100000,"")</f>
        <v/>
      </c>
      <c r="AA31" s="114">
        <f>IF(AND($A31&lt;&gt;"",F31&lt;&gt;"הושלם",F31&lt;&gt;"בוטל",NOT(ISNUMBER(SEARCH("אריאל",D31))),NOT(ISNUMBER(SEARCH("רינת",D31))),NOT(ISNUMBER(SEARCH("תמר",D31))),D31&lt;&gt;"כל המשפחה"),IF(K31="",99999,K31)+ROW()/100000,"")</f>
        <v/>
      </c>
    </row>
    <row r="32">
      <c r="A32" s="104" t="inlineStr">
        <is>
          <t>T-053</t>
        </is>
      </c>
      <c r="B32" s="105" t="inlineStr">
        <is>
          <t>6 גמר פנים</t>
        </is>
      </c>
      <c r="C32" s="106" t="inlineStr">
        <is>
          <t>ריצוף/טיח/צבע/תאורה</t>
        </is>
      </c>
      <c r="D32" s="105" t="inlineStr">
        <is>
          <t>קבלן</t>
        </is>
      </c>
      <c r="E32" s="107" t="inlineStr">
        <is>
          <t>בינונית</t>
        </is>
      </c>
      <c r="F32" s="107" t="inlineStr">
        <is>
          <t>לא התחיל</t>
        </is>
      </c>
      <c r="G32" s="108">
        <f>IF($A32="","",IF(AND(F32&lt;&gt;"הושלם",F32&lt;&gt;"בוטל",K32&lt;&gt;"",K32&lt;Today_),"באיחור",IF(F32="","לא התחיל",F32)))</f>
        <v/>
      </c>
      <c r="H32" s="109" t="n"/>
      <c r="I32" s="110">
        <f>IF($A32="","",IF(H32&lt;&gt;"",H32,IF(F32="הושלם",1,IF(F32="בתהליך",0.5,IF(OR(F32="ממתין",F32="תקוע"),0.25,0)))))</f>
        <v/>
      </c>
      <c r="J32" s="111">
        <f>IF(OR($A32="",O32=""),"",IF(AND(N32="K",KeyActual&lt;&gt;""),O32+(KeyActual-KeyA),IF(Scenario="B",IF(Q32="",O32,Q32),O32)))</f>
        <v/>
      </c>
      <c r="K32" s="111">
        <f>IF(OR($A32="",P32=""),"",IF(AND(N32="K",KeyActual&lt;&gt;""),P32+(KeyActual-KeyA),IF(Scenario="B",IF(R32="",P32,R32),P32)))</f>
        <v/>
      </c>
      <c r="L32" s="112">
        <f>IF(OR($A32="",K32=""),"",IF(OR(F32="הושלם",F32="בוטל"),"",K32-Today_))</f>
        <v/>
      </c>
      <c r="M32" s="105" t="inlineStr">
        <is>
          <t>T-052</t>
        </is>
      </c>
      <c r="N32" s="108" t="inlineStr">
        <is>
          <t>K</t>
        </is>
      </c>
      <c r="O32" s="113" t="n">
        <v>46392</v>
      </c>
      <c r="P32" s="113" t="n">
        <v>46420</v>
      </c>
      <c r="Q32" s="113" t="n">
        <v>46427</v>
      </c>
      <c r="R32" s="113" t="n">
        <v>46455</v>
      </c>
      <c r="S32" s="105" t="n"/>
      <c r="T32" s="105" t="inlineStr">
        <is>
          <t>בחירת חומרים</t>
        </is>
      </c>
      <c r="U32" s="105" t="inlineStr">
        <is>
          <t>הנחה</t>
        </is>
      </c>
      <c r="V32" s="114">
        <f>IF(AND($A32&lt;&gt;"",F32&lt;&gt;"הושלם",F32&lt;&gt;"בוטל",J32&lt;&gt;""),IF(J32&lt;=Today_+14,IF(K32="",99999,K32)+ROW()/100000,""),"")</f>
        <v/>
      </c>
      <c r="W32" s="114">
        <f>IFERROR(IF($A32="","",CHOOSE(MATCH(G32,{"לא התחיל","בתהליך","ממתין","תקוע","באיחור","הושלם","בוטל"},0),1,2,3,3,4,5,6)*100000+IF(K32="",99999,K32)+ROW()/1000000),"")</f>
        <v/>
      </c>
      <c r="X32" s="114">
        <f>IF(AND($A32&lt;&gt;"",F32&lt;&gt;"הושלם",F32&lt;&gt;"בוטל",OR(ISNUMBER(SEARCH("אריאל",D32)),D32="כל המשפחה")),IF(K32="",99999,K32)+ROW()/100000,"")</f>
        <v/>
      </c>
      <c r="Y32" s="114">
        <f>IF(AND($A32&lt;&gt;"",F32&lt;&gt;"הושלם",F32&lt;&gt;"בוטל",OR(ISNUMBER(SEARCH("רינת",D32)),D32="כל המשפחה")),IF(K32="",99999,K32)+ROW()/100000,"")</f>
        <v/>
      </c>
      <c r="Z32" s="114">
        <f>IF(AND($A32&lt;&gt;"",F32&lt;&gt;"הושלם",F32&lt;&gt;"בוטל",OR(ISNUMBER(SEARCH("תמר",D32)))),IF(K32="",99999,K32)+ROW()/100000,"")</f>
        <v/>
      </c>
      <c r="AA32" s="114">
        <f>IF(AND($A32&lt;&gt;"",F32&lt;&gt;"הושלם",F32&lt;&gt;"בוטל",NOT(ISNUMBER(SEARCH("אריאל",D32))),NOT(ISNUMBER(SEARCH("רינת",D32))),NOT(ISNUMBER(SEARCH("תמר",D32))),D32&lt;&gt;"כל המשפחה"),IF(K32="",99999,K32)+ROW()/100000,"")</f>
        <v/>
      </c>
    </row>
    <row r="33">
      <c r="A33" s="104" t="inlineStr">
        <is>
          <t>T-054</t>
        </is>
      </c>
      <c r="B33" s="105" t="inlineStr">
        <is>
          <t>9 מסירה</t>
        </is>
      </c>
      <c r="C33" s="106" t="inlineStr">
        <is>
          <t>מסירה מקבלן ובדק</t>
        </is>
      </c>
      <c r="D33" s="105" t="inlineStr">
        <is>
          <t>אריאל+קבלן</t>
        </is>
      </c>
      <c r="E33" s="107" t="inlineStr">
        <is>
          <t>בינונית</t>
        </is>
      </c>
      <c r="F33" s="107" t="inlineStr">
        <is>
          <t>לא התחיל</t>
        </is>
      </c>
      <c r="G33" s="108">
        <f>IF($A33="","",IF(AND(F33&lt;&gt;"הושלם",F33&lt;&gt;"בוטל",K33&lt;&gt;"",K33&lt;Today_),"באיחור",IF(F33="","לא התחיל",F33)))</f>
        <v/>
      </c>
      <c r="H33" s="109" t="n"/>
      <c r="I33" s="110">
        <f>IF($A33="","",IF(H33&lt;&gt;"",H33,IF(F33="הושלם",1,IF(F33="בתהליך",0.5,IF(OR(F33="ממתין",F33="תקוע"),0.25,0)))))</f>
        <v/>
      </c>
      <c r="J33" s="111">
        <f>IF(OR($A33="",O33=""),"",IF(AND(N33="K",KeyActual&lt;&gt;""),O33+(KeyActual-KeyA),IF(Scenario="B",IF(Q33="",O33,Q33),O33)))</f>
        <v/>
      </c>
      <c r="K33" s="111">
        <f>IF(OR($A33="",P33=""),"",IF(AND(N33="K",KeyActual&lt;&gt;""),P33+(KeyActual-KeyA),IF(Scenario="B",IF(R33="",P33,R33),P33)))</f>
        <v/>
      </c>
      <c r="L33" s="112">
        <f>IF(OR($A33="",K33=""),"",IF(OR(F33="הושלם",F33="בוטל"),"",K33-Today_))</f>
        <v/>
      </c>
      <c r="M33" s="105" t="inlineStr">
        <is>
          <t>T-053</t>
        </is>
      </c>
      <c r="N33" s="108" t="inlineStr">
        <is>
          <t>K</t>
        </is>
      </c>
      <c r="O33" s="113" t="n">
        <v>46420</v>
      </c>
      <c r="P33" s="113" t="n">
        <v>46427</v>
      </c>
      <c r="Q33" s="113" t="n">
        <v>46455</v>
      </c>
      <c r="R33" s="113" t="n">
        <v>46462</v>
      </c>
      <c r="S33" s="105" t="inlineStr">
        <is>
          <t>רשימת תיקונים</t>
        </is>
      </c>
      <c r="T33" s="105" t="n"/>
      <c r="U33" s="105" t="inlineStr">
        <is>
          <t>הנחה</t>
        </is>
      </c>
      <c r="V33" s="114">
        <f>IF(AND($A33&lt;&gt;"",F33&lt;&gt;"הושלם",F33&lt;&gt;"בוטל",J33&lt;&gt;""),IF(J33&lt;=Today_+14,IF(K33="",99999,K33)+ROW()/100000,""),"")</f>
        <v/>
      </c>
      <c r="W33" s="114">
        <f>IFERROR(IF($A33="","",CHOOSE(MATCH(G33,{"לא התחיל","בתהליך","ממתין","תקוע","באיחור","הושלם","בוטל"},0),1,2,3,3,4,5,6)*100000+IF(K33="",99999,K33)+ROW()/1000000),"")</f>
        <v/>
      </c>
      <c r="X33" s="114">
        <f>IF(AND($A33&lt;&gt;"",F33&lt;&gt;"הושלם",F33&lt;&gt;"בוטל",OR(ISNUMBER(SEARCH("אריאל",D33)),D33="כל המשפחה")),IF(K33="",99999,K33)+ROW()/100000,"")</f>
        <v/>
      </c>
      <c r="Y33" s="114">
        <f>IF(AND($A33&lt;&gt;"",F33&lt;&gt;"הושלם",F33&lt;&gt;"בוטל",OR(ISNUMBER(SEARCH("רינת",D33)),D33="כל המשפחה")),IF(K33="",99999,K33)+ROW()/100000,"")</f>
        <v/>
      </c>
      <c r="Z33" s="114">
        <f>IF(AND($A33&lt;&gt;"",F33&lt;&gt;"הושלם",F33&lt;&gt;"בוטל",OR(ISNUMBER(SEARCH("תמר",D33)))),IF(K33="",99999,K33)+ROW()/100000,"")</f>
        <v/>
      </c>
      <c r="AA33" s="114">
        <f>IF(AND($A33&lt;&gt;"",F33&lt;&gt;"הושלם",F33&lt;&gt;"בוטל",NOT(ISNUMBER(SEARCH("אריאל",D33))),NOT(ISNUMBER(SEARCH("רינת",D33))),NOT(ISNUMBER(SEARCH("תמר",D33))),D33&lt;&gt;"כל המשפחה"),IF(K33="",99999,K33)+ROW()/100000,"")</f>
        <v/>
      </c>
    </row>
    <row r="34">
      <c r="A34" s="104" t="inlineStr">
        <is>
          <t>T-055</t>
        </is>
      </c>
      <c r="B34" s="105" t="inlineStr">
        <is>
          <t>6 גמר פנים</t>
        </is>
      </c>
      <c r="C34" s="106" t="inlineStr">
        <is>
          <t>מטבח: בחירת ספק והזמנה</t>
        </is>
      </c>
      <c r="D34" s="105" t="inlineStr">
        <is>
          <t>אריאל+רינת</t>
        </is>
      </c>
      <c r="E34" s="107" t="inlineStr">
        <is>
          <t>בינונית</t>
        </is>
      </c>
      <c r="F34" s="107" t="inlineStr">
        <is>
          <t>לא התחיל</t>
        </is>
      </c>
      <c r="G34" s="108">
        <f>IF($A34="","",IF(AND(F34&lt;&gt;"הושלם",F34&lt;&gt;"בוטל",K34&lt;&gt;"",K34&lt;Today_),"באיחור",IF(F34="","לא התחיל",F34)))</f>
        <v/>
      </c>
      <c r="H34" s="109" t="n"/>
      <c r="I34" s="110">
        <f>IF($A34="","",IF(H34&lt;&gt;"",H34,IF(F34="הושלם",1,IF(F34="בתהליך",0.5,IF(OR(F34="ממתין",F34="תקוע"),0.25,0)))))</f>
        <v/>
      </c>
      <c r="J34" s="111">
        <f>IF(OR($A34="",O34=""),"",IF(AND(N34="K",KeyActual&lt;&gt;""),O34+(KeyActual-KeyA),IF(Scenario="B",IF(Q34="",O34,Q34),O34)))</f>
        <v/>
      </c>
      <c r="K34" s="111">
        <f>IF(OR($A34="",P34=""),"",IF(AND(N34="K",KeyActual&lt;&gt;""),P34+(KeyActual-KeyA),IF(Scenario="B",IF(R34="",P34,R34),P34)))</f>
        <v/>
      </c>
      <c r="L34" s="112">
        <f>IF(OR($A34="",K34=""),"",IF(OR(F34="הושלם",F34="בוטל"),"",K34-Today_))</f>
        <v/>
      </c>
      <c r="M34" s="105" t="inlineStr">
        <is>
          <t>T-022</t>
        </is>
      </c>
      <c r="N34" s="108" t="inlineStr">
        <is>
          <t>F</t>
        </is>
      </c>
      <c r="O34" s="113" t="n">
        <v>46341</v>
      </c>
      <c r="P34" s="113" t="n">
        <v>46376</v>
      </c>
      <c r="Q34" s="113" t="n">
        <v>46341</v>
      </c>
      <c r="R34" s="113" t="n">
        <v>46376</v>
      </c>
      <c r="S34" s="105" t="inlineStr">
        <is>
          <t>3 הצעות; זמן אספקה טיפוסי 6–10 שבועות (הערכה, לאמת)</t>
        </is>
      </c>
      <c r="T34" s="105" t="inlineStr">
        <is>
          <t>מידות 319/470, מכשירים (למידות נגר)</t>
        </is>
      </c>
      <c r="U34" s="105" t="inlineStr">
        <is>
          <t>הזמנה מוקדמת ככל האפשר; מדידה סופית אחרי שלד</t>
        </is>
      </c>
      <c r="V34" s="114">
        <f>IF(AND($A34&lt;&gt;"",F34&lt;&gt;"הושלם",F34&lt;&gt;"בוטל",J34&lt;&gt;""),IF(J34&lt;=Today_+14,IF(K34="",99999,K34)+ROW()/100000,""),"")</f>
        <v/>
      </c>
      <c r="W34" s="114">
        <f>IFERROR(IF($A34="","",CHOOSE(MATCH(G34,{"לא התחיל","בתהליך","ממתין","תקוע","באיחור","הושלם","בוטל"},0),1,2,3,3,4,5,6)*100000+IF(K34="",99999,K34)+ROW()/1000000),"")</f>
        <v/>
      </c>
      <c r="X34" s="114">
        <f>IF(AND($A34&lt;&gt;"",F34&lt;&gt;"הושלם",F34&lt;&gt;"בוטל",OR(ISNUMBER(SEARCH("אריאל",D34)),D34="כל המשפחה")),IF(K34="",99999,K34)+ROW()/100000,"")</f>
        <v/>
      </c>
      <c r="Y34" s="114">
        <f>IF(AND($A34&lt;&gt;"",F34&lt;&gt;"הושלם",F34&lt;&gt;"בוטל",OR(ISNUMBER(SEARCH("רינת",D34)),D34="כל המשפחה")),IF(K34="",99999,K34)+ROW()/100000,"")</f>
        <v/>
      </c>
      <c r="Z34" s="114">
        <f>IF(AND($A34&lt;&gt;"",F34&lt;&gt;"הושלם",F34&lt;&gt;"בוטל",OR(ISNUMBER(SEARCH("תמר",D34)))),IF(K34="",99999,K34)+ROW()/100000,"")</f>
        <v/>
      </c>
      <c r="AA34" s="114">
        <f>IF(AND($A34&lt;&gt;"",F34&lt;&gt;"הושלם",F34&lt;&gt;"בוטל",NOT(ISNUMBER(SEARCH("אריאל",D34))),NOT(ISNUMBER(SEARCH("רינת",D34))),NOT(ISNUMBER(SEARCH("תמר",D34))),D34&lt;&gt;"כל המשפחה"),IF(K34="",99999,K34)+ROW()/100000,"")</f>
        <v/>
      </c>
    </row>
    <row r="35">
      <c r="A35" s="104" t="inlineStr">
        <is>
          <t>T-056</t>
        </is>
      </c>
      <c r="B35" s="105" t="inlineStr">
        <is>
          <t>6 גמר פנים</t>
        </is>
      </c>
      <c r="C35" s="106" t="inlineStr">
        <is>
          <t>ארונות קיר/חדר אורחים/ארונות במרפסת</t>
        </is>
      </c>
      <c r="D35" s="105" t="inlineStr">
        <is>
          <t>אריאל+רינת</t>
        </is>
      </c>
      <c r="E35" s="107" t="inlineStr">
        <is>
          <t>נמוכה</t>
        </is>
      </c>
      <c r="F35" s="107" t="inlineStr">
        <is>
          <t>לא התחיל</t>
        </is>
      </c>
      <c r="G35" s="108">
        <f>IF($A35="","",IF(AND(F35&lt;&gt;"הושלם",F35&lt;&gt;"בוטל",K35&lt;&gt;"",K35&lt;Today_),"באיחור",IF(F35="","לא התחיל",F35)))</f>
        <v/>
      </c>
      <c r="H35" s="109" t="n"/>
      <c r="I35" s="110">
        <f>IF($A35="","",IF(H35&lt;&gt;"",H35,IF(F35="הושלם",1,IF(F35="בתהליך",0.5,IF(OR(F35="ממתין",F35="תקוע"),0.25,0)))))</f>
        <v/>
      </c>
      <c r="J35" s="111">
        <f>IF(OR($A35="",O35=""),"",IF(AND(N35="K",KeyActual&lt;&gt;""),O35+(KeyActual-KeyA),IF(Scenario="B",IF(Q35="",O35,Q35),O35)))</f>
        <v/>
      </c>
      <c r="K35" s="111">
        <f>IF(OR($A35="",P35=""),"",IF(AND(N35="K",KeyActual&lt;&gt;""),P35+(KeyActual-KeyA),IF(Scenario="B",IF(R35="",P35,R35),P35)))</f>
        <v/>
      </c>
      <c r="L35" s="112">
        <f>IF(OR($A35="",K35=""),"",IF(OR(F35="הושלם",F35="בוטל"),"",K35-Today_))</f>
        <v/>
      </c>
      <c r="M35" s="105" t="inlineStr">
        <is>
          <t>T-020</t>
        </is>
      </c>
      <c r="N35" s="108" t="inlineStr">
        <is>
          <t>F</t>
        </is>
      </c>
      <c r="O35" s="113" t="n">
        <v>46357</v>
      </c>
      <c r="P35" s="113" t="n">
        <v>46397</v>
      </c>
      <c r="Q35" s="113" t="n">
        <v>46357</v>
      </c>
      <c r="R35" s="113" t="n">
        <v>46397</v>
      </c>
      <c r="S35" s="105" t="inlineStr">
        <is>
          <t>תכנון והצעות</t>
        </is>
      </c>
      <c r="T35" s="105" t="inlineStr">
        <is>
          <t>מידות חדרים</t>
        </is>
      </c>
      <c r="U35" s="105" t="inlineStr">
        <is>
          <t>תלוי בסגירת מרפסת</t>
        </is>
      </c>
      <c r="V35" s="114">
        <f>IF(AND($A35&lt;&gt;"",F35&lt;&gt;"הושלם",F35&lt;&gt;"בוטל",J35&lt;&gt;""),IF(J35&lt;=Today_+14,IF(K35="",99999,K35)+ROW()/100000,""),"")</f>
        <v/>
      </c>
      <c r="W35" s="114">
        <f>IFERROR(IF($A35="","",CHOOSE(MATCH(G35,{"לא התחיל","בתהליך","ממתין","תקוע","באיחור","הושלם","בוטל"},0),1,2,3,3,4,5,6)*100000+IF(K35="",99999,K35)+ROW()/1000000),"")</f>
        <v/>
      </c>
      <c r="X35" s="114">
        <f>IF(AND($A35&lt;&gt;"",F35&lt;&gt;"הושלם",F35&lt;&gt;"בוטל",OR(ISNUMBER(SEARCH("אריאל",D35)),D35="כל המשפחה")),IF(K35="",99999,K35)+ROW()/100000,"")</f>
        <v/>
      </c>
      <c r="Y35" s="114">
        <f>IF(AND($A35&lt;&gt;"",F35&lt;&gt;"הושלם",F35&lt;&gt;"בוטל",OR(ISNUMBER(SEARCH("רינת",D35)),D35="כל המשפחה")),IF(K35="",99999,K35)+ROW()/100000,"")</f>
        <v/>
      </c>
      <c r="Z35" s="114">
        <f>IF(AND($A35&lt;&gt;"",F35&lt;&gt;"הושלם",F35&lt;&gt;"בוטל",OR(ISNUMBER(SEARCH("תמר",D35)))),IF(K35="",99999,K35)+ROW()/100000,"")</f>
        <v/>
      </c>
      <c r="AA35" s="114">
        <f>IF(AND($A35&lt;&gt;"",F35&lt;&gt;"הושלם",F35&lt;&gt;"בוטל",NOT(ISNUMBER(SEARCH("אריאל",D35))),NOT(ISNUMBER(SEARCH("רינת",D35))),NOT(ISNUMBER(SEARCH("תמר",D35))),D35&lt;&gt;"כל המשפחה"),IF(K35="",99999,K35)+ROW()/100000,"")</f>
        <v/>
      </c>
    </row>
    <row r="36">
      <c r="A36" s="104" t="inlineStr">
        <is>
          <t>T-057</t>
        </is>
      </c>
      <c r="B36" s="105" t="inlineStr">
        <is>
          <t>6 גמר פנים</t>
        </is>
      </c>
      <c r="C36" s="106" t="inlineStr">
        <is>
          <t>מדידה סופית בשטח לנגרות</t>
        </is>
      </c>
      <c r="D36" s="105" t="inlineStr">
        <is>
          <t>נגר/ספק מטבח</t>
        </is>
      </c>
      <c r="E36" s="107" t="inlineStr">
        <is>
          <t>בינונית</t>
        </is>
      </c>
      <c r="F36" s="107" t="inlineStr">
        <is>
          <t>לא התחיל</t>
        </is>
      </c>
      <c r="G36" s="108">
        <f>IF($A36="","",IF(AND(F36&lt;&gt;"הושלם",F36&lt;&gt;"בוטל",K36&lt;&gt;"",K36&lt;Today_),"באיחור",IF(F36="","לא התחיל",F36)))</f>
        <v/>
      </c>
      <c r="H36" s="109" t="n"/>
      <c r="I36" s="110">
        <f>IF($A36="","",IF(H36&lt;&gt;"",H36,IF(F36="הושלם",1,IF(F36="בתהליך",0.5,IF(OR(F36="ממתין",F36="תקוע"),0.25,0)))))</f>
        <v/>
      </c>
      <c r="J36" s="111">
        <f>IF(OR($A36="",O36=""),"",IF(AND(N36="K",KeyActual&lt;&gt;""),O36+(KeyActual-KeyA),IF(Scenario="B",IF(Q36="",O36,Q36),O36)))</f>
        <v/>
      </c>
      <c r="K36" s="111">
        <f>IF(OR($A36="",P36=""),"",IF(AND(N36="K",KeyActual&lt;&gt;""),P36+(KeyActual-KeyA),IF(Scenario="B",IF(R36="",P36,R36),P36)))</f>
        <v/>
      </c>
      <c r="L36" s="112">
        <f>IF(OR($A36="",K36=""),"",IF(OR(F36="הושלם",F36="בוטל"),"",K36-Today_))</f>
        <v/>
      </c>
      <c r="M36" s="105" t="inlineStr">
        <is>
          <t>T-051,T-052</t>
        </is>
      </c>
      <c r="N36" s="108" t="inlineStr">
        <is>
          <t>K</t>
        </is>
      </c>
      <c r="O36" s="113" t="n">
        <v>46392</v>
      </c>
      <c r="P36" s="113" t="n">
        <v>46399</v>
      </c>
      <c r="Q36" s="113" t="n">
        <v>46427</v>
      </c>
      <c r="R36" s="113" t="n">
        <v>46434</v>
      </c>
      <c r="S36" s="105" t="inlineStr">
        <is>
          <t>אחרי טיח/ריצוף</t>
        </is>
      </c>
      <c r="T36" s="105" t="n"/>
      <c r="U36" s="105" t="inlineStr">
        <is>
          <t>שינוי מידות = שינוי הזמנה</t>
        </is>
      </c>
      <c r="V36" s="114">
        <f>IF(AND($A36&lt;&gt;"",F36&lt;&gt;"הושלם",F36&lt;&gt;"בוטל",J36&lt;&gt;""),IF(J36&lt;=Today_+14,IF(K36="",99999,K36)+ROW()/100000,""),"")</f>
        <v/>
      </c>
      <c r="W36" s="114">
        <f>IFERROR(IF($A36="","",CHOOSE(MATCH(G36,{"לא התחיל","בתהליך","ממתין","תקוע","באיחור","הושלם","בוטל"},0),1,2,3,3,4,5,6)*100000+IF(K36="",99999,K36)+ROW()/1000000),"")</f>
        <v/>
      </c>
      <c r="X36" s="114">
        <f>IF(AND($A36&lt;&gt;"",F36&lt;&gt;"הושלם",F36&lt;&gt;"בוטל",OR(ISNUMBER(SEARCH("אריאל",D36)),D36="כל המשפחה")),IF(K36="",99999,K36)+ROW()/100000,"")</f>
        <v/>
      </c>
      <c r="Y36" s="114">
        <f>IF(AND($A36&lt;&gt;"",F36&lt;&gt;"הושלם",F36&lt;&gt;"בוטל",OR(ISNUMBER(SEARCH("רינת",D36)),D36="כל המשפחה")),IF(K36="",99999,K36)+ROW()/100000,"")</f>
        <v/>
      </c>
      <c r="Z36" s="114">
        <f>IF(AND($A36&lt;&gt;"",F36&lt;&gt;"הושלם",F36&lt;&gt;"בוטל",OR(ISNUMBER(SEARCH("תמר",D36)))),IF(K36="",99999,K36)+ROW()/100000,"")</f>
        <v/>
      </c>
      <c r="AA36" s="114">
        <f>IF(AND($A36&lt;&gt;"",F36&lt;&gt;"הושלם",F36&lt;&gt;"בוטל",NOT(ISNUMBER(SEARCH("אריאל",D36))),NOT(ISNUMBER(SEARCH("רינת",D36))),NOT(ISNUMBER(SEARCH("תמר",D36))),D36&lt;&gt;"כל המשפחה"),IF(K36="",99999,K36)+ROW()/100000,"")</f>
        <v/>
      </c>
    </row>
    <row r="37">
      <c r="A37" s="104" t="inlineStr">
        <is>
          <t>T-058</t>
        </is>
      </c>
      <c r="B37" s="105" t="inlineStr">
        <is>
          <t>6 גמר פנים</t>
        </is>
      </c>
      <c r="C37" s="106" t="inlineStr">
        <is>
          <t>התקנת מטבח וארונות</t>
        </is>
      </c>
      <c r="D37" s="105" t="inlineStr">
        <is>
          <t>ספק מטבח/נגר</t>
        </is>
      </c>
      <c r="E37" s="107" t="inlineStr">
        <is>
          <t>בינונית</t>
        </is>
      </c>
      <c r="F37" s="107" t="inlineStr">
        <is>
          <t>לא התחיל</t>
        </is>
      </c>
      <c r="G37" s="108">
        <f>IF($A37="","",IF(AND(F37&lt;&gt;"הושלם",F37&lt;&gt;"בוטל",K37&lt;&gt;"",K37&lt;Today_),"באיחור",IF(F37="","לא התחיל",F37)))</f>
        <v/>
      </c>
      <c r="H37" s="109" t="n"/>
      <c r="I37" s="110">
        <f>IF($A37="","",IF(H37&lt;&gt;"",H37,IF(F37="הושלם",1,IF(F37="בתהליך",0.5,IF(OR(F37="ממתין",F37="תקוע"),0.25,0)))))</f>
        <v/>
      </c>
      <c r="J37" s="111">
        <f>IF(OR($A37="",O37=""),"",IF(AND(N37="K",KeyActual&lt;&gt;""),O37+(KeyActual-KeyA),IF(Scenario="B",IF(Q37="",O37,Q37),O37)))</f>
        <v/>
      </c>
      <c r="K37" s="111">
        <f>IF(OR($A37="",P37=""),"",IF(AND(N37="K",KeyActual&lt;&gt;""),P37+(KeyActual-KeyA),IF(Scenario="B",IF(R37="",P37,R37),P37)))</f>
        <v/>
      </c>
      <c r="L37" s="112">
        <f>IF(OR($A37="",K37=""),"",IF(OR(F37="הושלם",F37="בוטל"),"",K37-Today_))</f>
        <v/>
      </c>
      <c r="M37" s="105" t="inlineStr">
        <is>
          <t>T-057</t>
        </is>
      </c>
      <c r="N37" s="108" t="inlineStr">
        <is>
          <t>K</t>
        </is>
      </c>
      <c r="O37" s="113" t="n">
        <v>46413</v>
      </c>
      <c r="P37" s="113" t="n">
        <v>46434</v>
      </c>
      <c r="Q37" s="113" t="n">
        <v>46448</v>
      </c>
      <c r="R37" s="113" t="n">
        <v>46469</v>
      </c>
      <c r="S37" s="105" t="n"/>
      <c r="T37" s="105" t="n"/>
      <c r="U37" s="105" t="inlineStr">
        <is>
          <t>תלוי בזמן אספקה</t>
        </is>
      </c>
      <c r="V37" s="114">
        <f>IF(AND($A37&lt;&gt;"",F37&lt;&gt;"הושלם",F37&lt;&gt;"בוטל",J37&lt;&gt;""),IF(J37&lt;=Today_+14,IF(K37="",99999,K37)+ROW()/100000,""),"")</f>
        <v/>
      </c>
      <c r="W37" s="114">
        <f>IFERROR(IF($A37="","",CHOOSE(MATCH(G37,{"לא התחיל","בתהליך","ממתין","תקוע","באיחור","הושלם","בוטל"},0),1,2,3,3,4,5,6)*100000+IF(K37="",99999,K37)+ROW()/1000000),"")</f>
        <v/>
      </c>
      <c r="X37" s="114">
        <f>IF(AND($A37&lt;&gt;"",F37&lt;&gt;"הושלם",F37&lt;&gt;"בוטל",OR(ISNUMBER(SEARCH("אריאל",D37)),D37="כל המשפחה")),IF(K37="",99999,K37)+ROW()/100000,"")</f>
        <v/>
      </c>
      <c r="Y37" s="114">
        <f>IF(AND($A37&lt;&gt;"",F37&lt;&gt;"הושלם",F37&lt;&gt;"בוטל",OR(ISNUMBER(SEARCH("רינת",D37)),D37="כל המשפחה")),IF(K37="",99999,K37)+ROW()/100000,"")</f>
        <v/>
      </c>
      <c r="Z37" s="114">
        <f>IF(AND($A37&lt;&gt;"",F37&lt;&gt;"הושלם",F37&lt;&gt;"בוטל",OR(ISNUMBER(SEARCH("תמר",D37)))),IF(K37="",99999,K37)+ROW()/100000,"")</f>
        <v/>
      </c>
      <c r="AA37" s="114">
        <f>IF(AND($A37&lt;&gt;"",F37&lt;&gt;"הושלם",F37&lt;&gt;"בוטל",NOT(ISNUMBER(SEARCH("אריאל",D37))),NOT(ISNUMBER(SEARCH("רינת",D37))),NOT(ISNUMBER(SEARCH("תמר",D37))),D37&lt;&gt;"כל המשפחה"),IF(K37="",99999,K37)+ROW()/100000,"")</f>
        <v/>
      </c>
    </row>
    <row r="38">
      <c r="A38" s="104" t="inlineStr">
        <is>
          <t>T-060</t>
        </is>
      </c>
      <c r="B38" s="105" t="inlineStr">
        <is>
          <t>הכנה למעבר</t>
        </is>
      </c>
      <c r="C38" s="106" t="inlineStr">
        <is>
          <t>בעל הדירה: תאריך פינוי מדויק + הודעה</t>
        </is>
      </c>
      <c r="D38" s="105" t="inlineStr">
        <is>
          <t>אריאל</t>
        </is>
      </c>
      <c r="E38" s="107" t="inlineStr">
        <is>
          <t>גבוהה</t>
        </is>
      </c>
      <c r="F38" s="107" t="inlineStr">
        <is>
          <t>לא התחיל</t>
        </is>
      </c>
      <c r="G38" s="108">
        <f>IF($A38="","",IF(AND(F38&lt;&gt;"הושלם",F38&lt;&gt;"בוטל",K38&lt;&gt;"",K38&lt;Today_),"באיחור",IF(F38="","לא התחיל",F38)))</f>
        <v/>
      </c>
      <c r="H38" s="109" t="n"/>
      <c r="I38" s="110">
        <f>IF($A38="","",IF(H38&lt;&gt;"",H38,IF(F38="הושלם",1,IF(F38="בתהליך",0.5,IF(OR(F38="ממתין",F38="תקוע"),0.25,0)))))</f>
        <v/>
      </c>
      <c r="J38" s="111">
        <f>IF(OR($A38="",O38=""),"",IF(AND(N38="K",KeyActual&lt;&gt;""),O38+(KeyActual-KeyA),IF(Scenario="B",IF(Q38="",O38,Q38),O38)))</f>
        <v/>
      </c>
      <c r="K38" s="111">
        <f>IF(OR($A38="",P38=""),"",IF(AND(N38="K",KeyActual&lt;&gt;""),P38+(KeyActual-KeyA),IF(Scenario="B",IF(R38="",P38,R38),P38)))</f>
        <v/>
      </c>
      <c r="L38" s="112">
        <f>IF(OR($A38="",K38=""),"",IF(OR(F38="הושלם",F38="בוטל"),"",K38-Today_))</f>
        <v/>
      </c>
      <c r="M38" s="105" t="inlineStr">
        <is>
          <t>—</t>
        </is>
      </c>
      <c r="N38" s="108" t="inlineStr">
        <is>
          <t>F</t>
        </is>
      </c>
      <c r="O38" s="113" t="n">
        <v>46308</v>
      </c>
      <c r="P38" s="113" t="n">
        <v>46315</v>
      </c>
      <c r="Q38" s="113" t="n">
        <v>46308</v>
      </c>
      <c r="R38" s="113" t="n">
        <v>46315</v>
      </c>
      <c r="S38" s="105" t="inlineStr">
        <is>
          <t>לאמת בחוזה תאריך סיום שכירות ותקופת הודעה; לשאול על אפשרות הארכה חודשית (חלופה B)</t>
        </is>
      </c>
      <c r="T38" s="105" t="inlineStr">
        <is>
          <t>חוזה שכירות</t>
        </is>
      </c>
      <c r="U38" s="105" t="inlineStr">
        <is>
          <t>נתיב קריטי: תאריך פינוי</t>
        </is>
      </c>
      <c r="V38" s="114">
        <f>IF(AND($A38&lt;&gt;"",F38&lt;&gt;"הושלם",F38&lt;&gt;"בוטל",J38&lt;&gt;""),IF(J38&lt;=Today_+14,IF(K38="",99999,K38)+ROW()/100000,""),"")</f>
        <v/>
      </c>
      <c r="W38" s="114">
        <f>IFERROR(IF($A38="","",CHOOSE(MATCH(G38,{"לא התחיל","בתהליך","ממתין","תקוע","באיחור","הושלם","בוטל"},0),1,2,3,3,4,5,6)*100000+IF(K38="",99999,K38)+ROW()/1000000),"")</f>
        <v/>
      </c>
      <c r="X38" s="114">
        <f>IF(AND($A38&lt;&gt;"",F38&lt;&gt;"הושלם",F38&lt;&gt;"בוטל",OR(ISNUMBER(SEARCH("אריאל",D38)),D38="כל המשפחה")),IF(K38="",99999,K38)+ROW()/100000,"")</f>
        <v/>
      </c>
      <c r="Y38" s="114">
        <f>IF(AND($A38&lt;&gt;"",F38&lt;&gt;"הושלם",F38&lt;&gt;"בוטל",OR(ISNUMBER(SEARCH("רינת",D38)),D38="כל המשפחה")),IF(K38="",99999,K38)+ROW()/100000,"")</f>
        <v/>
      </c>
      <c r="Z38" s="114">
        <f>IF(AND($A38&lt;&gt;"",F38&lt;&gt;"הושלם",F38&lt;&gt;"בוטל",OR(ISNUMBER(SEARCH("תמר",D38)))),IF(K38="",99999,K38)+ROW()/100000,"")</f>
        <v/>
      </c>
      <c r="AA38" s="114">
        <f>IF(AND($A38&lt;&gt;"",F38&lt;&gt;"הושלם",F38&lt;&gt;"בוטל",NOT(ISNUMBER(SEARCH("אריאל",D38))),NOT(ISNUMBER(SEARCH("רינת",D38))),NOT(ISNUMBER(SEARCH("תמר",D38))),D38&lt;&gt;"כל המשפחה"),IF(K38="",99999,K38)+ROW()/100000,"")</f>
        <v/>
      </c>
    </row>
    <row r="39">
      <c r="A39" s="104" t="inlineStr">
        <is>
          <t>T-061</t>
        </is>
      </c>
      <c r="B39" s="105" t="inlineStr">
        <is>
          <t>הכנה למעבר</t>
        </is>
      </c>
      <c r="C39" s="106" t="inlineStr">
        <is>
          <t>3 הצעות ממובילים (כולל אחסון / מעבר כפול)</t>
        </is>
      </c>
      <c r="D39" s="105" t="inlineStr">
        <is>
          <t>רינת</t>
        </is>
      </c>
      <c r="E39" s="107" t="inlineStr">
        <is>
          <t>בינונית</t>
        </is>
      </c>
      <c r="F39" s="107" t="inlineStr">
        <is>
          <t>לא התחיל</t>
        </is>
      </c>
      <c r="G39" s="108">
        <f>IF($A39="","",IF(AND(F39&lt;&gt;"הושלם",F39&lt;&gt;"בוטל",K39&lt;&gt;"",K39&lt;Today_),"באיחור",IF(F39="","לא התחיל",F39)))</f>
        <v/>
      </c>
      <c r="H39" s="109" t="n"/>
      <c r="I39" s="110">
        <f>IF($A39="","",IF(H39&lt;&gt;"",H39,IF(F39="הושלם",1,IF(F39="בתהליך",0.5,IF(OR(F39="ממתין",F39="תקוע"),0.25,0)))))</f>
        <v/>
      </c>
      <c r="J39" s="111">
        <f>IF(OR($A39="",O39=""),"",IF(AND(N39="K",KeyActual&lt;&gt;""),O39+(KeyActual-KeyA),IF(Scenario="B",IF(Q39="",O39,Q39),O39)))</f>
        <v/>
      </c>
      <c r="K39" s="111">
        <f>IF(OR($A39="",P39=""),"",IF(AND(N39="K",KeyActual&lt;&gt;""),P39+(KeyActual-KeyA),IF(Scenario="B",IF(R39="",P39,R39),P39)))</f>
        <v/>
      </c>
      <c r="L39" s="112">
        <f>IF(OR($A39="",K39=""),"",IF(OR(F39="הושלם",F39="בוטל"),"",K39-Today_))</f>
        <v/>
      </c>
      <c r="M39" s="105" t="inlineStr">
        <is>
          <t>T-060</t>
        </is>
      </c>
      <c r="N39" s="108" t="inlineStr">
        <is>
          <t>F</t>
        </is>
      </c>
      <c r="O39" s="113" t="n">
        <v>46310</v>
      </c>
      <c r="P39" s="113" t="n">
        <v>46331</v>
      </c>
      <c r="Q39" s="113" t="n">
        <v>46310</v>
      </c>
      <c r="R39" s="113" t="n">
        <v>46331</v>
      </c>
      <c r="S39" s="105" t="inlineStr">
        <is>
          <t>לבקש מחיר לשני מסלולים: ישיר לבית (A) / דירה→אחסון→בית (B)</t>
        </is>
      </c>
      <c r="T39" s="105" t="inlineStr">
        <is>
          <t>רשימת תכולה, קומה/מעלית</t>
        </is>
      </c>
      <c r="U39" s="105" t="inlineStr">
        <is>
          <t>הזמנה באישור</t>
        </is>
      </c>
      <c r="V39" s="114">
        <f>IF(AND($A39&lt;&gt;"",F39&lt;&gt;"הושלם",F39&lt;&gt;"בוטל",J39&lt;&gt;""),IF(J39&lt;=Today_+14,IF(K39="",99999,K39)+ROW()/100000,""),"")</f>
        <v/>
      </c>
      <c r="W39" s="114">
        <f>IFERROR(IF($A39="","",CHOOSE(MATCH(G39,{"לא התחיל","בתהליך","ממתין","תקוע","באיחור","הושלם","בוטל"},0),1,2,3,3,4,5,6)*100000+IF(K39="",99999,K39)+ROW()/1000000),"")</f>
        <v/>
      </c>
      <c r="X39" s="114">
        <f>IF(AND($A39&lt;&gt;"",F39&lt;&gt;"הושלם",F39&lt;&gt;"בוטל",OR(ISNUMBER(SEARCH("אריאל",D39)),D39="כל המשפחה")),IF(K39="",99999,K39)+ROW()/100000,"")</f>
        <v/>
      </c>
      <c r="Y39" s="114">
        <f>IF(AND($A39&lt;&gt;"",F39&lt;&gt;"הושלם",F39&lt;&gt;"בוטל",OR(ISNUMBER(SEARCH("רינת",D39)),D39="כל המשפחה")),IF(K39="",99999,K39)+ROW()/100000,"")</f>
        <v/>
      </c>
      <c r="Z39" s="114">
        <f>IF(AND($A39&lt;&gt;"",F39&lt;&gt;"הושלם",F39&lt;&gt;"בוטל",OR(ISNUMBER(SEARCH("תמר",D39)))),IF(K39="",99999,K39)+ROW()/100000,"")</f>
        <v/>
      </c>
      <c r="AA39" s="114">
        <f>IF(AND($A39&lt;&gt;"",F39&lt;&gt;"הושלם",F39&lt;&gt;"בוטל",NOT(ISNUMBER(SEARCH("אריאל",D39))),NOT(ISNUMBER(SEARCH("רינת",D39))),NOT(ISNUMBER(SEARCH("תמר",D39))),D39&lt;&gt;"כל המשפחה"),IF(K39="",99999,K39)+ROW()/100000,"")</f>
        <v/>
      </c>
    </row>
    <row r="40">
      <c r="A40" s="104" t="inlineStr">
        <is>
          <t>T-062</t>
        </is>
      </c>
      <c r="B40" s="105" t="inlineStr">
        <is>
          <t>הכנה למעבר</t>
        </is>
      </c>
      <c r="C40" s="106" t="inlineStr">
        <is>
          <t>מיון ואריזה</t>
        </is>
      </c>
      <c r="D40" s="105" t="inlineStr">
        <is>
          <t>כל המשפחה</t>
        </is>
      </c>
      <c r="E40" s="107" t="inlineStr">
        <is>
          <t>בינונית</t>
        </is>
      </c>
      <c r="F40" s="107" t="inlineStr">
        <is>
          <t>לא התחיל</t>
        </is>
      </c>
      <c r="G40" s="108">
        <f>IF($A40="","",IF(AND(F40&lt;&gt;"הושלם",F40&lt;&gt;"בוטל",K40&lt;&gt;"",K40&lt;Today_),"באיחור",IF(F40="","לא התחיל",F40)))</f>
        <v/>
      </c>
      <c r="H40" s="109" t="n"/>
      <c r="I40" s="110">
        <f>IF($A40="","",IF(H40&lt;&gt;"",H40,IF(F40="הושלם",1,IF(F40="בתהליך",0.5,IF(OR(F40="ממתין",F40="תקוע"),0.25,0)))))</f>
        <v/>
      </c>
      <c r="J40" s="111">
        <f>IF(OR($A40="",O40=""),"",IF(AND(N40="K",KeyActual&lt;&gt;""),O40+(KeyActual-KeyA),IF(Scenario="B",IF(Q40="",O40,Q40),O40)))</f>
        <v/>
      </c>
      <c r="K40" s="111">
        <f>IF(OR($A40="",P40=""),"",IF(AND(N40="K",KeyActual&lt;&gt;""),P40+(KeyActual-KeyA),IF(Scenario="B",IF(R40="",P40,R40),P40)))</f>
        <v/>
      </c>
      <c r="L40" s="112">
        <f>IF(OR($A40="",K40=""),"",IF(OR(F40="הושלם",F40="בוטל"),"",K40-Today_))</f>
        <v/>
      </c>
      <c r="M40" s="105" t="inlineStr">
        <is>
          <t>T-061</t>
        </is>
      </c>
      <c r="N40" s="108" t="inlineStr">
        <is>
          <t>F</t>
        </is>
      </c>
      <c r="O40" s="113" t="n">
        <v>46327</v>
      </c>
      <c r="P40" s="113" t="n">
        <v>46355</v>
      </c>
      <c r="Q40" s="113" t="n">
        <v>46327</v>
      </c>
      <c r="R40" s="113" t="n">
        <v>46355</v>
      </c>
      <c r="S40" s="105" t="inlineStr">
        <is>
          <t>אריזה לפי חדר; ארגזי 'יום ראשון' נפרדים</t>
        </is>
      </c>
      <c r="T40" s="105" t="n"/>
      <c r="U40" s="105" t="inlineStr">
        <is>
          <t>לפי תאריך הפינוי, לא לפי המפתח</t>
        </is>
      </c>
      <c r="V40" s="114">
        <f>IF(AND($A40&lt;&gt;"",F40&lt;&gt;"הושלם",F40&lt;&gt;"בוטל",J40&lt;&gt;""),IF(J40&lt;=Today_+14,IF(K40="",99999,K40)+ROW()/100000,""),"")</f>
        <v/>
      </c>
      <c r="W40" s="114">
        <f>IFERROR(IF($A40="","",CHOOSE(MATCH(G40,{"לא התחיל","בתהליך","ממתין","תקוע","באיחור","הושלם","בוטל"},0),1,2,3,3,4,5,6)*100000+IF(K40="",99999,K40)+ROW()/1000000),"")</f>
        <v/>
      </c>
      <c r="X40" s="114">
        <f>IF(AND($A40&lt;&gt;"",F40&lt;&gt;"הושלם",F40&lt;&gt;"בוטל",OR(ISNUMBER(SEARCH("אריאל",D40)),D40="כל המשפחה")),IF(K40="",99999,K40)+ROW()/100000,"")</f>
        <v/>
      </c>
      <c r="Y40" s="114">
        <f>IF(AND($A40&lt;&gt;"",F40&lt;&gt;"הושלם",F40&lt;&gt;"בוטל",OR(ISNUMBER(SEARCH("רינת",D40)),D40="כל המשפחה")),IF(K40="",99999,K40)+ROW()/100000,"")</f>
        <v/>
      </c>
      <c r="Z40" s="114">
        <f>IF(AND($A40&lt;&gt;"",F40&lt;&gt;"הושלם",F40&lt;&gt;"בוטל",OR(ISNUMBER(SEARCH("תמר",D40)))),IF(K40="",99999,K40)+ROW()/100000,"")</f>
        <v/>
      </c>
      <c r="AA40" s="114">
        <f>IF(AND($A40&lt;&gt;"",F40&lt;&gt;"הושלם",F40&lt;&gt;"בוטל",NOT(ISNUMBER(SEARCH("אריאל",D40))),NOT(ISNUMBER(SEARCH("רינת",D40))),NOT(ISNUMBER(SEARCH("תמר",D40))),D40&lt;&gt;"כל המשפחה"),IF(K40="",99999,K40)+ROW()/100000,"")</f>
        <v/>
      </c>
    </row>
    <row r="41">
      <c r="A41" s="104" t="inlineStr">
        <is>
          <t>T-063</t>
        </is>
      </c>
      <c r="B41" s="105" t="inlineStr">
        <is>
          <t>הכנה למעבר</t>
        </is>
      </c>
      <c r="C41" s="106" t="inlineStr">
        <is>
          <t>העברת חשמל</t>
        </is>
      </c>
      <c r="D41" s="105" t="inlineStr">
        <is>
          <t>אריאל</t>
        </is>
      </c>
      <c r="E41" s="107" t="inlineStr">
        <is>
          <t>בינונית</t>
        </is>
      </c>
      <c r="F41" s="107" t="inlineStr">
        <is>
          <t>לא התחיל</t>
        </is>
      </c>
      <c r="G41" s="108">
        <f>IF($A41="","",IF(AND(F41&lt;&gt;"הושלם",F41&lt;&gt;"בוטל",K41&lt;&gt;"",K41&lt;Today_),"באיחור",IF(F41="","לא התחיל",F41)))</f>
        <v/>
      </c>
      <c r="H41" s="109" t="n"/>
      <c r="I41" s="110">
        <f>IF($A41="","",IF(H41&lt;&gt;"",H41,IF(F41="הושלם",1,IF(F41="בתהליך",0.5,IF(OR(F41="ממתין",F41="תקוע"),0.25,0)))))</f>
        <v/>
      </c>
      <c r="J41" s="111">
        <f>IF(OR($A41="",O41=""),"",IF(AND(N41="K",KeyActual&lt;&gt;""),O41+(KeyActual-KeyA),IF(Scenario="B",IF(Q41="",O41,Q41),O41)))</f>
        <v/>
      </c>
      <c r="K41" s="111">
        <f>IF(OR($A41="",P41=""),"",IF(AND(N41="K",KeyActual&lt;&gt;""),P41+(KeyActual-KeyA),IF(Scenario="B",IF(R41="",P41,R41),P41)))</f>
        <v/>
      </c>
      <c r="L41" s="112">
        <f>IF(OR($A41="",K41=""),"",IF(OR(F41="הושלם",F41="בוטל"),"",K41-Today_))</f>
        <v/>
      </c>
      <c r="M41" s="105" t="inlineStr">
        <is>
          <t>T-050</t>
        </is>
      </c>
      <c r="N41" s="108" t="inlineStr">
        <is>
          <t>K</t>
        </is>
      </c>
      <c r="O41" s="113" t="n">
        <v>46357</v>
      </c>
      <c r="P41" s="113" t="n">
        <v>46360</v>
      </c>
      <c r="Q41" s="113" t="n">
        <v>46392</v>
      </c>
      <c r="R41" s="113" t="n">
        <v>46395</v>
      </c>
      <c r="S41" s="105" t="inlineStr">
        <is>
          <t>קריאת מונה ביום מפתח, העברת חשבון</t>
        </is>
      </c>
      <c r="T41" s="105" t="inlineStr">
        <is>
          <t>מספר חוזה/מונה, ת"ז</t>
        </is>
      </c>
      <c r="U41" s="105" t="n"/>
      <c r="V41" s="114">
        <f>IF(AND($A41&lt;&gt;"",F41&lt;&gt;"הושלם",F41&lt;&gt;"בוטל",J41&lt;&gt;""),IF(J41&lt;=Today_+14,IF(K41="",99999,K41)+ROW()/100000,""),"")</f>
        <v/>
      </c>
      <c r="W41" s="114">
        <f>IFERROR(IF($A41="","",CHOOSE(MATCH(G41,{"לא התחיל","בתהליך","ממתין","תקוע","באיחור","הושלם","בוטל"},0),1,2,3,3,4,5,6)*100000+IF(K41="",99999,K41)+ROW()/1000000),"")</f>
        <v/>
      </c>
      <c r="X41" s="114">
        <f>IF(AND($A41&lt;&gt;"",F41&lt;&gt;"הושלם",F41&lt;&gt;"בוטל",OR(ISNUMBER(SEARCH("אריאל",D41)),D41="כל המשפחה")),IF(K41="",99999,K41)+ROW()/100000,"")</f>
        <v/>
      </c>
      <c r="Y41" s="114">
        <f>IF(AND($A41&lt;&gt;"",F41&lt;&gt;"הושלם",F41&lt;&gt;"בוטל",OR(ISNUMBER(SEARCH("רינת",D41)),D41="כל המשפחה")),IF(K41="",99999,K41)+ROW()/100000,"")</f>
        <v/>
      </c>
      <c r="Z41" s="114">
        <f>IF(AND($A41&lt;&gt;"",F41&lt;&gt;"הושלם",F41&lt;&gt;"בוטל",OR(ISNUMBER(SEARCH("תמר",D41)))),IF(K41="",99999,K41)+ROW()/100000,"")</f>
        <v/>
      </c>
      <c r="AA41" s="114">
        <f>IF(AND($A41&lt;&gt;"",F41&lt;&gt;"הושלם",F41&lt;&gt;"בוטל",NOT(ISNUMBER(SEARCH("אריאל",D41))),NOT(ISNUMBER(SEARCH("רינת",D41))),NOT(ISNUMBER(SEARCH("תמר",D41))),D41&lt;&gt;"כל המשפחה"),IF(K41="",99999,K41)+ROW()/100000,"")</f>
        <v/>
      </c>
    </row>
    <row r="42">
      <c r="A42" s="104" t="inlineStr">
        <is>
          <t>T-064</t>
        </is>
      </c>
      <c r="B42" s="105" t="inlineStr">
        <is>
          <t>הכנה למעבר</t>
        </is>
      </c>
      <c r="C42" s="106" t="inlineStr">
        <is>
          <t>העברת מים + ארנונה (מועצה)</t>
        </is>
      </c>
      <c r="D42" s="105" t="inlineStr">
        <is>
          <t>אריאל</t>
        </is>
      </c>
      <c r="E42" s="107" t="inlineStr">
        <is>
          <t>בינונית</t>
        </is>
      </c>
      <c r="F42" s="107" t="inlineStr">
        <is>
          <t>לא התחיל</t>
        </is>
      </c>
      <c r="G42" s="108">
        <f>IF($A42="","",IF(AND(F42&lt;&gt;"הושלם",F42&lt;&gt;"בוטל",K42&lt;&gt;"",K42&lt;Today_),"באיחור",IF(F42="","לא התחיל",F42)))</f>
        <v/>
      </c>
      <c r="H42" s="109" t="n"/>
      <c r="I42" s="110">
        <f>IF($A42="","",IF(H42&lt;&gt;"",H42,IF(F42="הושלם",1,IF(F42="בתהליך",0.5,IF(OR(F42="ממתין",F42="תקוע"),0.25,0)))))</f>
        <v/>
      </c>
      <c r="J42" s="111">
        <f>IF(OR($A42="",O42=""),"",IF(AND(N42="K",KeyActual&lt;&gt;""),O42+(KeyActual-KeyA),IF(Scenario="B",IF(Q42="",O42,Q42),O42)))</f>
        <v/>
      </c>
      <c r="K42" s="111">
        <f>IF(OR($A42="",P42=""),"",IF(AND(N42="K",KeyActual&lt;&gt;""),P42+(KeyActual-KeyA),IF(Scenario="B",IF(R42="",P42,R42),P42)))</f>
        <v/>
      </c>
      <c r="L42" s="112">
        <f>IF(OR($A42="",K42=""),"",IF(OR(F42="הושלם",F42="בוטל"),"",K42-Today_))</f>
        <v/>
      </c>
      <c r="M42" s="105" t="inlineStr">
        <is>
          <t>T-050</t>
        </is>
      </c>
      <c r="N42" s="108" t="inlineStr">
        <is>
          <t>K</t>
        </is>
      </c>
      <c r="O42" s="113" t="n">
        <v>46357</v>
      </c>
      <c r="P42" s="113" t="n">
        <v>46364</v>
      </c>
      <c r="Q42" s="113" t="n">
        <v>46392</v>
      </c>
      <c r="R42" s="113" t="n">
        <v>46399</v>
      </c>
      <c r="S42" s="105" t="inlineStr">
        <is>
          <t>עדכון מחזיק נכס במועצה (מטה בנימין) ובדירה הישנה</t>
        </is>
      </c>
      <c r="T42" s="105" t="inlineStr">
        <is>
          <t>חוזה רכישה, פרוטוקול מסירה</t>
        </is>
      </c>
      <c r="U42" s="105" t="inlineStr">
        <is>
          <t>לאמת ספק מים ביישוב</t>
        </is>
      </c>
      <c r="V42" s="114">
        <f>IF(AND($A42&lt;&gt;"",F42&lt;&gt;"הושלם",F42&lt;&gt;"בוטל",J42&lt;&gt;""),IF(J42&lt;=Today_+14,IF(K42="",99999,K42)+ROW()/100000,""),"")</f>
        <v/>
      </c>
      <c r="W42" s="114">
        <f>IFERROR(IF($A42="","",CHOOSE(MATCH(G42,{"לא התחיל","בתהליך","ממתין","תקוע","באיחור","הושלם","בוטל"},0),1,2,3,3,4,5,6)*100000+IF(K42="",99999,K42)+ROW()/1000000),"")</f>
        <v/>
      </c>
      <c r="X42" s="114">
        <f>IF(AND($A42&lt;&gt;"",F42&lt;&gt;"הושלם",F42&lt;&gt;"בוטל",OR(ISNUMBER(SEARCH("אריאל",D42)),D42="כל המשפחה")),IF(K42="",99999,K42)+ROW()/100000,"")</f>
        <v/>
      </c>
      <c r="Y42" s="114">
        <f>IF(AND($A42&lt;&gt;"",F42&lt;&gt;"הושלם",F42&lt;&gt;"בוטל",OR(ISNUMBER(SEARCH("רינת",D42)),D42="כל המשפחה")),IF(K42="",99999,K42)+ROW()/100000,"")</f>
        <v/>
      </c>
      <c r="Z42" s="114">
        <f>IF(AND($A42&lt;&gt;"",F42&lt;&gt;"הושלם",F42&lt;&gt;"בוטל",OR(ISNUMBER(SEARCH("תמר",D42)))),IF(K42="",99999,K42)+ROW()/100000,"")</f>
        <v/>
      </c>
      <c r="AA42" s="114">
        <f>IF(AND($A42&lt;&gt;"",F42&lt;&gt;"הושלם",F42&lt;&gt;"בוטל",NOT(ISNUMBER(SEARCH("אריאל",D42))),NOT(ISNUMBER(SEARCH("רינת",D42))),NOT(ISNUMBER(SEARCH("תמר",D42))),D42&lt;&gt;"כל המשפחה"),IF(K42="",99999,K42)+ROW()/100000,"")</f>
        <v/>
      </c>
    </row>
    <row r="43">
      <c r="A43" s="104" t="inlineStr">
        <is>
          <t>T-065</t>
        </is>
      </c>
      <c r="B43" s="105" t="inlineStr">
        <is>
          <t>הכנה למעבר</t>
        </is>
      </c>
      <c r="C43" s="106" t="inlineStr">
        <is>
          <t>גז</t>
        </is>
      </c>
      <c r="D43" s="105" t="inlineStr">
        <is>
          <t>רינת</t>
        </is>
      </c>
      <c r="E43" s="107" t="inlineStr">
        <is>
          <t>בינונית</t>
        </is>
      </c>
      <c r="F43" s="107" t="inlineStr">
        <is>
          <t>לא התחיל</t>
        </is>
      </c>
      <c r="G43" s="108">
        <f>IF($A43="","",IF(AND(F43&lt;&gt;"הושלם",F43&lt;&gt;"בוטל",K43&lt;&gt;"",K43&lt;Today_),"באיחור",IF(F43="","לא התחיל",F43)))</f>
        <v/>
      </c>
      <c r="H43" s="109" t="n"/>
      <c r="I43" s="110">
        <f>IF($A43="","",IF(H43&lt;&gt;"",H43,IF(F43="הושלם",1,IF(F43="בתהליך",0.5,IF(OR(F43="ממתין",F43="תקוע"),0.25,0)))))</f>
        <v/>
      </c>
      <c r="J43" s="111">
        <f>IF(OR($A43="",O43=""),"",IF(AND(N43="K",KeyActual&lt;&gt;""),O43+(KeyActual-KeyA),IF(Scenario="B",IF(Q43="",O43,Q43),O43)))</f>
        <v/>
      </c>
      <c r="K43" s="111">
        <f>IF(OR($A43="",P43=""),"",IF(AND(N43="K",KeyActual&lt;&gt;""),P43+(KeyActual-KeyA),IF(Scenario="B",IF(R43="",P43,R43),P43)))</f>
        <v/>
      </c>
      <c r="L43" s="112">
        <f>IF(OR($A43="",K43=""),"",IF(OR(F43="הושלם",F43="בוטל"),"",K43-Today_))</f>
        <v/>
      </c>
      <c r="M43" s="105" t="inlineStr">
        <is>
          <t>T-050</t>
        </is>
      </c>
      <c r="N43" s="108" t="inlineStr">
        <is>
          <t>K</t>
        </is>
      </c>
      <c r="O43" s="113" t="n">
        <v>46357</v>
      </c>
      <c r="P43" s="113" t="n">
        <v>46371</v>
      </c>
      <c r="Q43" s="113" t="n">
        <v>46392</v>
      </c>
      <c r="R43" s="113" t="n">
        <v>46406</v>
      </c>
      <c r="S43" s="105" t="inlineStr">
        <is>
          <t>ניתוק בדירה הישנה, חיבור/בדיקה בבית</t>
        </is>
      </c>
      <c r="T43" s="105" t="inlineStr">
        <is>
          <t>ספק גז</t>
        </is>
      </c>
      <c r="U43" s="105" t="inlineStr">
        <is>
          <t>תלוי במטבח</t>
        </is>
      </c>
      <c r="V43" s="114">
        <f>IF(AND($A43&lt;&gt;"",F43&lt;&gt;"הושלם",F43&lt;&gt;"בוטל",J43&lt;&gt;""),IF(J43&lt;=Today_+14,IF(K43="",99999,K43)+ROW()/100000,""),"")</f>
        <v/>
      </c>
      <c r="W43" s="114">
        <f>IFERROR(IF($A43="","",CHOOSE(MATCH(G43,{"לא התחיל","בתהליך","ממתין","תקוע","באיחור","הושלם","בוטל"},0),1,2,3,3,4,5,6)*100000+IF(K43="",99999,K43)+ROW()/1000000),"")</f>
        <v/>
      </c>
      <c r="X43" s="114">
        <f>IF(AND($A43&lt;&gt;"",F43&lt;&gt;"הושלם",F43&lt;&gt;"בוטל",OR(ISNUMBER(SEARCH("אריאל",D43)),D43="כל המשפחה")),IF(K43="",99999,K43)+ROW()/100000,"")</f>
        <v/>
      </c>
      <c r="Y43" s="114">
        <f>IF(AND($A43&lt;&gt;"",F43&lt;&gt;"הושלם",F43&lt;&gt;"בוטל",OR(ISNUMBER(SEARCH("רינת",D43)),D43="כל המשפחה")),IF(K43="",99999,K43)+ROW()/100000,"")</f>
        <v/>
      </c>
      <c r="Z43" s="114">
        <f>IF(AND($A43&lt;&gt;"",F43&lt;&gt;"הושלם",F43&lt;&gt;"בוטל",OR(ISNUMBER(SEARCH("תמר",D43)))),IF(K43="",99999,K43)+ROW()/100000,"")</f>
        <v/>
      </c>
      <c r="AA43" s="114">
        <f>IF(AND($A43&lt;&gt;"",F43&lt;&gt;"הושלם",F43&lt;&gt;"בוטל",NOT(ISNUMBER(SEARCH("אריאל",D43))),NOT(ISNUMBER(SEARCH("רינת",D43))),NOT(ISNUMBER(SEARCH("תמר",D43))),D43&lt;&gt;"כל המשפחה"),IF(K43="",99999,K43)+ROW()/100000,"")</f>
        <v/>
      </c>
    </row>
    <row r="44">
      <c r="A44" s="104" t="inlineStr">
        <is>
          <t>T-066</t>
        </is>
      </c>
      <c r="B44" s="105" t="inlineStr">
        <is>
          <t>הכנה למעבר</t>
        </is>
      </c>
      <c r="C44" s="106" t="inlineStr">
        <is>
          <t>אינטרנט/תקשורת</t>
        </is>
      </c>
      <c r="D44" s="105" t="inlineStr">
        <is>
          <t>אריאל</t>
        </is>
      </c>
      <c r="E44" s="107" t="inlineStr">
        <is>
          <t>בינונית</t>
        </is>
      </c>
      <c r="F44" s="107" t="inlineStr">
        <is>
          <t>לא התחיל</t>
        </is>
      </c>
      <c r="G44" s="108">
        <f>IF($A44="","",IF(AND(F44&lt;&gt;"הושלם",F44&lt;&gt;"בוטל",K44&lt;&gt;"",K44&lt;Today_),"באיחור",IF(F44="","לא התחיל",F44)))</f>
        <v/>
      </c>
      <c r="H44" s="109" t="n"/>
      <c r="I44" s="110">
        <f>IF($A44="","",IF(H44&lt;&gt;"",H44,IF(F44="הושלם",1,IF(F44="בתהליך",0.5,IF(OR(F44="ממתין",F44="תקוע"),0.25,0)))))</f>
        <v/>
      </c>
      <c r="J44" s="111">
        <f>IF(OR($A44="",O44=""),"",IF(AND(N44="K",KeyActual&lt;&gt;""),O44+(KeyActual-KeyA),IF(Scenario="B",IF(Q44="",O44,Q44),O44)))</f>
        <v/>
      </c>
      <c r="K44" s="111">
        <f>IF(OR($A44="",P44=""),"",IF(AND(N44="K",KeyActual&lt;&gt;""),P44+(KeyActual-KeyA),IF(Scenario="B",IF(R44="",P44,R44),P44)))</f>
        <v/>
      </c>
      <c r="L44" s="112">
        <f>IF(OR($A44="",K44=""),"",IF(OR(F44="הושלם",F44="בוטל"),"",K44-Today_))</f>
        <v/>
      </c>
      <c r="M44" s="105" t="inlineStr">
        <is>
          <t>T-004</t>
        </is>
      </c>
      <c r="N44" s="108" t="inlineStr">
        <is>
          <t>K</t>
        </is>
      </c>
      <c r="O44" s="113" t="n">
        <v>46336</v>
      </c>
      <c r="P44" s="113" t="n">
        <v>46364</v>
      </c>
      <c r="Q44" s="113" t="n">
        <v>46371</v>
      </c>
      <c r="R44" s="113" t="n">
        <v>46399</v>
      </c>
      <c r="S44" s="105" t="inlineStr">
        <is>
          <t>בדיקת תשתית סיבים ביישוב, תיאום התקנה מראש</t>
        </is>
      </c>
      <c r="T44" s="105" t="inlineStr">
        <is>
          <t>כתובת</t>
        </is>
      </c>
      <c r="U44" s="105" t="inlineStr">
        <is>
          <t>להזמין מוקדם</t>
        </is>
      </c>
      <c r="V44" s="114">
        <f>IF(AND($A44&lt;&gt;"",F44&lt;&gt;"הושלם",F44&lt;&gt;"בוטל",J44&lt;&gt;""),IF(J44&lt;=Today_+14,IF(K44="",99999,K44)+ROW()/100000,""),"")</f>
        <v/>
      </c>
      <c r="W44" s="114">
        <f>IFERROR(IF($A44="","",CHOOSE(MATCH(G44,{"לא התחיל","בתהליך","ממתין","תקוע","באיחור","הושלם","בוטל"},0),1,2,3,3,4,5,6)*100000+IF(K44="",99999,K44)+ROW()/1000000),"")</f>
        <v/>
      </c>
      <c r="X44" s="114">
        <f>IF(AND($A44&lt;&gt;"",F44&lt;&gt;"הושלם",F44&lt;&gt;"בוטל",OR(ISNUMBER(SEARCH("אריאל",D44)),D44="כל המשפחה")),IF(K44="",99999,K44)+ROW()/100000,"")</f>
        <v/>
      </c>
      <c r="Y44" s="114">
        <f>IF(AND($A44&lt;&gt;"",F44&lt;&gt;"הושלם",F44&lt;&gt;"בוטל",OR(ISNUMBER(SEARCH("רינת",D44)),D44="כל המשפחה")),IF(K44="",99999,K44)+ROW()/100000,"")</f>
        <v/>
      </c>
      <c r="Z44" s="114">
        <f>IF(AND($A44&lt;&gt;"",F44&lt;&gt;"הושלם",F44&lt;&gt;"בוטל",OR(ISNUMBER(SEARCH("תמר",D44)))),IF(K44="",99999,K44)+ROW()/100000,"")</f>
        <v/>
      </c>
      <c r="AA44" s="114">
        <f>IF(AND($A44&lt;&gt;"",F44&lt;&gt;"הושלם",F44&lt;&gt;"בוטל",NOT(ISNUMBER(SEARCH("אריאל",D44))),NOT(ISNUMBER(SEARCH("רינת",D44))),NOT(ISNUMBER(SEARCH("תמר",D44))),D44&lt;&gt;"כל המשפחה"),IF(K44="",99999,K44)+ROW()/100000,"")</f>
        <v/>
      </c>
    </row>
    <row r="45">
      <c r="A45" s="104" t="inlineStr">
        <is>
          <t>T-067</t>
        </is>
      </c>
      <c r="B45" s="105" t="inlineStr">
        <is>
          <t>הכנה למעבר</t>
        </is>
      </c>
      <c r="C45" s="106" t="inlineStr">
        <is>
          <t>שינוי כתובת ודואר</t>
        </is>
      </c>
      <c r="D45" s="105" t="inlineStr">
        <is>
          <t>רינת</t>
        </is>
      </c>
      <c r="E45" s="107" t="inlineStr">
        <is>
          <t>בינונית</t>
        </is>
      </c>
      <c r="F45" s="107" t="inlineStr">
        <is>
          <t>לא התחיל</t>
        </is>
      </c>
      <c r="G45" s="108">
        <f>IF($A45="","",IF(AND(F45&lt;&gt;"הושלם",F45&lt;&gt;"בוטל",K45&lt;&gt;"",K45&lt;Today_),"באיחור",IF(F45="","לא התחיל",F45)))</f>
        <v/>
      </c>
      <c r="H45" s="109" t="n"/>
      <c r="I45" s="110">
        <f>IF($A45="","",IF(H45&lt;&gt;"",H45,IF(F45="הושלם",1,IF(F45="בתהליך",0.5,IF(OR(F45="ממתין",F45="תקוע"),0.25,0)))))</f>
        <v/>
      </c>
      <c r="J45" s="111">
        <f>IF(OR($A45="",O45=""),"",IF(AND(N45="K",KeyActual&lt;&gt;""),O45+(KeyActual-KeyA),IF(Scenario="B",IF(Q45="",O45,Q45),O45)))</f>
        <v/>
      </c>
      <c r="K45" s="111">
        <f>IF(OR($A45="",P45=""),"",IF(AND(N45="K",KeyActual&lt;&gt;""),P45+(KeyActual-KeyA),IF(Scenario="B",IF(R45="",P45,R45),P45)))</f>
        <v/>
      </c>
      <c r="L45" s="112">
        <f>IF(OR($A45="",K45=""),"",IF(OR(F45="הושלם",F45="בוטל"),"",K45-Today_))</f>
        <v/>
      </c>
      <c r="M45" s="105" t="inlineStr">
        <is>
          <t>T-060</t>
        </is>
      </c>
      <c r="N45" s="108" t="inlineStr">
        <is>
          <t>K</t>
        </is>
      </c>
      <c r="O45" s="113" t="n">
        <v>46350</v>
      </c>
      <c r="P45" s="113" t="n">
        <v>46371</v>
      </c>
      <c r="Q45" s="113" t="n">
        <v>46385</v>
      </c>
      <c r="R45" s="113" t="n">
        <v>46406</v>
      </c>
      <c r="S45" s="105" t="inlineStr">
        <is>
          <t>משרד הפנים, בנקים, ביטוחים, קופ"ח, בתי ספר, הפניית דואר</t>
        </is>
      </c>
      <c r="T45" s="105" t="inlineStr">
        <is>
          <t>ת"ז</t>
        </is>
      </c>
      <c r="U45" s="105" t="inlineStr">
        <is>
          <t>מועד = יום מעבר בפועל</t>
        </is>
      </c>
      <c r="V45" s="114">
        <f>IF(AND($A45&lt;&gt;"",F45&lt;&gt;"הושלם",F45&lt;&gt;"בוטל",J45&lt;&gt;""),IF(J45&lt;=Today_+14,IF(K45="",99999,K45)+ROW()/100000,""),"")</f>
        <v/>
      </c>
      <c r="W45" s="114">
        <f>IFERROR(IF($A45="","",CHOOSE(MATCH(G45,{"לא התחיל","בתהליך","ממתין","תקוע","באיחור","הושלם","בוטל"},0),1,2,3,3,4,5,6)*100000+IF(K45="",99999,K45)+ROW()/1000000),"")</f>
        <v/>
      </c>
      <c r="X45" s="114">
        <f>IF(AND($A45&lt;&gt;"",F45&lt;&gt;"הושלם",F45&lt;&gt;"בוטל",OR(ISNUMBER(SEARCH("אריאל",D45)),D45="כל המשפחה")),IF(K45="",99999,K45)+ROW()/100000,"")</f>
        <v/>
      </c>
      <c r="Y45" s="114">
        <f>IF(AND($A45&lt;&gt;"",F45&lt;&gt;"הושלם",F45&lt;&gt;"בוטל",OR(ISNUMBER(SEARCH("רינת",D45)),D45="כל המשפחה")),IF(K45="",99999,K45)+ROW()/100000,"")</f>
        <v/>
      </c>
      <c r="Z45" s="114">
        <f>IF(AND($A45&lt;&gt;"",F45&lt;&gt;"הושלם",F45&lt;&gt;"בוטל",OR(ISNUMBER(SEARCH("תמר",D45)))),IF(K45="",99999,K45)+ROW()/100000,"")</f>
        <v/>
      </c>
      <c r="AA45" s="114">
        <f>IF(AND($A45&lt;&gt;"",F45&lt;&gt;"הושלם",F45&lt;&gt;"בוטל",NOT(ISNUMBER(SEARCH("אריאל",D45))),NOT(ISNUMBER(SEARCH("רינת",D45))),NOT(ISNUMBER(SEARCH("תמר",D45))),D45&lt;&gt;"כל המשפחה"),IF(K45="",99999,K45)+ROW()/100000,"")</f>
        <v/>
      </c>
    </row>
    <row r="46">
      <c r="A46" s="104" t="inlineStr">
        <is>
          <t>T-068</t>
        </is>
      </c>
      <c r="B46" s="105" t="inlineStr">
        <is>
          <t>הכנה למעבר</t>
        </is>
      </c>
      <c r="C46" s="106" t="inlineStr">
        <is>
          <t>ביטוח דירה/מבנה לבית החדש</t>
        </is>
      </c>
      <c r="D46" s="105" t="inlineStr">
        <is>
          <t>אריאל</t>
        </is>
      </c>
      <c r="E46" s="107" t="inlineStr">
        <is>
          <t>בינונית</t>
        </is>
      </c>
      <c r="F46" s="107" t="inlineStr">
        <is>
          <t>לא התחיל</t>
        </is>
      </c>
      <c r="G46" s="108">
        <f>IF($A46="","",IF(AND(F46&lt;&gt;"הושלם",F46&lt;&gt;"בוטל",K46&lt;&gt;"",K46&lt;Today_),"באיחור",IF(F46="","לא התחיל",F46)))</f>
        <v/>
      </c>
      <c r="H46" s="109" t="n"/>
      <c r="I46" s="110">
        <f>IF($A46="","",IF(H46&lt;&gt;"",H46,IF(F46="הושלם",1,IF(F46="בתהליך",0.5,IF(OR(F46="ממתין",F46="תקוע"),0.25,0)))))</f>
        <v/>
      </c>
      <c r="J46" s="111">
        <f>IF(OR($A46="",O46=""),"",IF(AND(N46="K",KeyActual&lt;&gt;""),O46+(KeyActual-KeyA),IF(Scenario="B",IF(Q46="",O46,Q46),O46)))</f>
        <v/>
      </c>
      <c r="K46" s="111">
        <f>IF(OR($A46="",P46=""),"",IF(AND(N46="K",KeyActual&lt;&gt;""),P46+(KeyActual-KeyA),IF(Scenario="B",IF(R46="",P46,R46),P46)))</f>
        <v/>
      </c>
      <c r="L46" s="112">
        <f>IF(OR($A46="",K46=""),"",IF(OR(F46="הושלם",F46="בוטל"),"",K46-Today_))</f>
        <v/>
      </c>
      <c r="M46" s="105" t="inlineStr">
        <is>
          <t>T-004</t>
        </is>
      </c>
      <c r="N46" s="108" t="inlineStr">
        <is>
          <t>K</t>
        </is>
      </c>
      <c r="O46" s="113" t="n">
        <v>46343</v>
      </c>
      <c r="P46" s="113" t="n">
        <v>46357</v>
      </c>
      <c r="Q46" s="113" t="n">
        <v>46378</v>
      </c>
      <c r="R46" s="113" t="n">
        <v>46392</v>
      </c>
      <c r="S46" s="105" t="inlineStr">
        <is>
          <t>פוליסה בתוקף מיום המפתח</t>
        </is>
      </c>
      <c r="T46" s="105" t="inlineStr">
        <is>
          <t>פרטי נכס</t>
        </is>
      </c>
      <c r="U46" s="105" t="n"/>
      <c r="V46" s="114">
        <f>IF(AND($A46&lt;&gt;"",F46&lt;&gt;"הושלם",F46&lt;&gt;"בוטל",J46&lt;&gt;""),IF(J46&lt;=Today_+14,IF(K46="",99999,K46)+ROW()/100000,""),"")</f>
        <v/>
      </c>
      <c r="W46" s="114">
        <f>IFERROR(IF($A46="","",CHOOSE(MATCH(G46,{"לא התחיל","בתהליך","ממתין","תקוע","באיחור","הושלם","בוטל"},0),1,2,3,3,4,5,6)*100000+IF(K46="",99999,K46)+ROW()/1000000),"")</f>
        <v/>
      </c>
      <c r="X46" s="114">
        <f>IF(AND($A46&lt;&gt;"",F46&lt;&gt;"הושלם",F46&lt;&gt;"בוטל",OR(ISNUMBER(SEARCH("אריאל",D46)),D46="כל המשפחה")),IF(K46="",99999,K46)+ROW()/100000,"")</f>
        <v/>
      </c>
      <c r="Y46" s="114">
        <f>IF(AND($A46&lt;&gt;"",F46&lt;&gt;"הושלם",F46&lt;&gt;"בוטל",OR(ISNUMBER(SEARCH("רינת",D46)),D46="כל המשפחה")),IF(K46="",99999,K46)+ROW()/100000,"")</f>
        <v/>
      </c>
      <c r="Z46" s="114">
        <f>IF(AND($A46&lt;&gt;"",F46&lt;&gt;"הושלם",F46&lt;&gt;"בוטל",OR(ISNUMBER(SEARCH("תמר",D46)))),IF(K46="",99999,K46)+ROW()/100000,"")</f>
        <v/>
      </c>
      <c r="AA46" s="114">
        <f>IF(AND($A46&lt;&gt;"",F46&lt;&gt;"הושלם",F46&lt;&gt;"בוטל",NOT(ISNUMBER(SEARCH("אריאל",D46))),NOT(ISNUMBER(SEARCH("רינת",D46))),NOT(ISNUMBER(SEARCH("תמר",D46))),D46&lt;&gt;"כל המשפחה"),IF(K46="",99999,K46)+ROW()/100000,"")</f>
        <v/>
      </c>
    </row>
    <row r="47">
      <c r="A47" s="104" t="inlineStr">
        <is>
          <t>T-069</t>
        </is>
      </c>
      <c r="B47" s="105" t="inlineStr">
        <is>
          <t>הכנה למעבר</t>
        </is>
      </c>
      <c r="C47" s="106" t="inlineStr">
        <is>
          <t>יום ההובלה</t>
        </is>
      </c>
      <c r="D47" s="105" t="inlineStr">
        <is>
          <t>מובילים</t>
        </is>
      </c>
      <c r="E47" s="107" t="inlineStr">
        <is>
          <t>גבוהה</t>
        </is>
      </c>
      <c r="F47" s="107" t="inlineStr">
        <is>
          <t>לא התחיל</t>
        </is>
      </c>
      <c r="G47" s="108">
        <f>IF($A47="","",IF(AND(F47&lt;&gt;"הושלם",F47&lt;&gt;"בוטל",K47&lt;&gt;"",K47&lt;Today_),"באיחור",IF(F47="","לא התחיל",F47)))</f>
        <v/>
      </c>
      <c r="H47" s="109" t="n"/>
      <c r="I47" s="110">
        <f>IF($A47="","",IF(H47&lt;&gt;"",H47,IF(F47="הושלם",1,IF(F47="בתהליך",0.5,IF(OR(F47="ממתין",F47="תקוע"),0.25,0)))))</f>
        <v/>
      </c>
      <c r="J47" s="111">
        <f>IF(OR($A47="",O47=""),"",IF(AND(N47="K",KeyActual&lt;&gt;""),O47+(KeyActual-KeyA),IF(Scenario="B",IF(Q47="",O47,Q47),O47)))</f>
        <v/>
      </c>
      <c r="K47" s="111">
        <f>IF(OR($A47="",P47=""),"",IF(AND(N47="K",KeyActual&lt;&gt;""),P47+(KeyActual-KeyA),IF(Scenario="B",IF(R47="",P47,R47),P47)))</f>
        <v/>
      </c>
      <c r="L47" s="112">
        <f>IF(OR($A47="",K47=""),"",IF(OR(F47="הושלם",F47="בוטל"),"",K47-Today_))</f>
        <v/>
      </c>
      <c r="M47" s="105" t="inlineStr">
        <is>
          <t>T-062</t>
        </is>
      </c>
      <c r="N47" s="108" t="inlineStr">
        <is>
          <t>F</t>
        </is>
      </c>
      <c r="O47" s="113" t="n">
        <v>46356</v>
      </c>
      <c r="P47" s="113" t="n">
        <v>46357</v>
      </c>
      <c r="Q47" s="113" t="n">
        <v>46356</v>
      </c>
      <c r="R47" s="113" t="n">
        <v>46357</v>
      </c>
      <c r="S47" s="105" t="inlineStr">
        <is>
          <t>A: ישירות לבית מיד אחרי מפתח. B: לאחסון/מגורי ביניים, ושוב לבית אחרי מפתח</t>
        </is>
      </c>
      <c r="T47" s="105" t="n"/>
      <c r="U47" s="105" t="inlineStr">
        <is>
          <t>תאריך פינוי — לא אומת</t>
        </is>
      </c>
      <c r="V47" s="114">
        <f>IF(AND($A47&lt;&gt;"",F47&lt;&gt;"הושלם",F47&lt;&gt;"בוטל",J47&lt;&gt;""),IF(J47&lt;=Today_+14,IF(K47="",99999,K47)+ROW()/100000,""),"")</f>
        <v/>
      </c>
      <c r="W47" s="114">
        <f>IFERROR(IF($A47="","",CHOOSE(MATCH(G47,{"לא התחיל","בתהליך","ממתין","תקוע","באיחור","הושלם","בוטל"},0),1,2,3,3,4,5,6)*100000+IF(K47="",99999,K47)+ROW()/1000000),"")</f>
        <v/>
      </c>
      <c r="X47" s="114">
        <f>IF(AND($A47&lt;&gt;"",F47&lt;&gt;"הושלם",F47&lt;&gt;"בוטל",OR(ISNUMBER(SEARCH("אריאל",D47)),D47="כל המשפחה")),IF(K47="",99999,K47)+ROW()/100000,"")</f>
        <v/>
      </c>
      <c r="Y47" s="114">
        <f>IF(AND($A47&lt;&gt;"",F47&lt;&gt;"הושלם",F47&lt;&gt;"בוטל",OR(ISNUMBER(SEARCH("רינת",D47)),D47="כל המשפחה")),IF(K47="",99999,K47)+ROW()/100000,"")</f>
        <v/>
      </c>
      <c r="Z47" s="114">
        <f>IF(AND($A47&lt;&gt;"",F47&lt;&gt;"הושלם",F47&lt;&gt;"בוטל",OR(ISNUMBER(SEARCH("תמר",D47)))),IF(K47="",99999,K47)+ROW()/100000,"")</f>
        <v/>
      </c>
      <c r="AA47" s="114">
        <f>IF(AND($A47&lt;&gt;"",F47&lt;&gt;"הושלם",F47&lt;&gt;"בוטל",NOT(ISNUMBER(SEARCH("אריאל",D47))),NOT(ISNUMBER(SEARCH("רינת",D47))),NOT(ISNUMBER(SEARCH("תמר",D47))),D47&lt;&gt;"כל המשפחה"),IF(K47="",99999,K47)+ROW()/100000,"")</f>
        <v/>
      </c>
    </row>
    <row r="48">
      <c r="A48" s="104" t="inlineStr">
        <is>
          <t>T-070</t>
        </is>
      </c>
      <c r="B48" s="105" t="inlineStr">
        <is>
          <t>7 חוץ ופיתוח</t>
        </is>
      </c>
      <c r="C48" s="106" t="inlineStr">
        <is>
          <t>תשתיות חוץ (ניקוז, חשמל, השקיה) לפני ריצוף</t>
        </is>
      </c>
      <c r="D48" s="105" t="inlineStr">
        <is>
          <t>קבלן</t>
        </is>
      </c>
      <c r="E48" s="107" t="inlineStr">
        <is>
          <t>בינונית</t>
        </is>
      </c>
      <c r="F48" s="107" t="inlineStr">
        <is>
          <t>לא התחיל</t>
        </is>
      </c>
      <c r="G48" s="108">
        <f>IF($A48="","",IF(AND(F48&lt;&gt;"הושלם",F48&lt;&gt;"בוטל",K48&lt;&gt;"",K48&lt;Today_),"באיחור",IF(F48="","לא התחיל",F48)))</f>
        <v/>
      </c>
      <c r="H48" s="109" t="n"/>
      <c r="I48" s="110">
        <f>IF($A48="","",IF(H48&lt;&gt;"",H48,IF(F48="הושלם",1,IF(F48="בתהליך",0.5,IF(OR(F48="ממתין",F48="תקוע"),0.25,0)))))</f>
        <v/>
      </c>
      <c r="J48" s="111">
        <f>IF(OR($A48="",O48=""),"",IF(AND(N48="K",KeyActual&lt;&gt;""),O48+(KeyActual-KeyA),IF(Scenario="B",IF(Q48="",O48,Q48),O48)))</f>
        <v/>
      </c>
      <c r="K48" s="111">
        <f>IF(OR($A48="",P48=""),"",IF(AND(N48="K",KeyActual&lt;&gt;""),P48+(KeyActual-KeyA),IF(Scenario="B",IF(R48="",P48,R48),P48)))</f>
        <v/>
      </c>
      <c r="L48" s="112">
        <f>IF(OR($A48="",K48=""),"",IF(OR(F48="הושלם",F48="בוטל"),"",K48-Today_))</f>
        <v/>
      </c>
      <c r="M48" s="105" t="inlineStr">
        <is>
          <t>T-023</t>
        </is>
      </c>
      <c r="N48" s="108" t="inlineStr">
        <is>
          <t>K</t>
        </is>
      </c>
      <c r="O48" s="113" t="n">
        <v>46392</v>
      </c>
      <c r="P48" s="113" t="n">
        <v>46417</v>
      </c>
      <c r="Q48" s="113" t="n">
        <v>46427</v>
      </c>
      <c r="R48" s="113" t="n">
        <v>46452</v>
      </c>
      <c r="S48" s="105" t="n"/>
      <c r="T48" s="105" t="inlineStr">
        <is>
          <t>תכנית פיתוח</t>
        </is>
      </c>
      <c r="U48" s="105" t="inlineStr">
        <is>
          <t>לאחר החלטה #10</t>
        </is>
      </c>
      <c r="V48" s="114">
        <f>IF(AND($A48&lt;&gt;"",F48&lt;&gt;"הושלם",F48&lt;&gt;"בוטל",J48&lt;&gt;""),IF(J48&lt;=Today_+14,IF(K48="",99999,K48)+ROW()/100000,""),"")</f>
        <v/>
      </c>
      <c r="W48" s="114">
        <f>IFERROR(IF($A48="","",CHOOSE(MATCH(G48,{"לא התחיל","בתהליך","ממתין","תקוע","באיחור","הושלם","בוטל"},0),1,2,3,3,4,5,6)*100000+IF(K48="",99999,K48)+ROW()/1000000),"")</f>
        <v/>
      </c>
      <c r="X48" s="114">
        <f>IF(AND($A48&lt;&gt;"",F48&lt;&gt;"הושלם",F48&lt;&gt;"בוטל",OR(ISNUMBER(SEARCH("אריאל",D48)),D48="כל המשפחה")),IF(K48="",99999,K48)+ROW()/100000,"")</f>
        <v/>
      </c>
      <c r="Y48" s="114">
        <f>IF(AND($A48&lt;&gt;"",F48&lt;&gt;"הושלם",F48&lt;&gt;"בוטל",OR(ISNUMBER(SEARCH("רינת",D48)),D48="כל המשפחה")),IF(K48="",99999,K48)+ROW()/100000,"")</f>
        <v/>
      </c>
      <c r="Z48" s="114">
        <f>IF(AND($A48&lt;&gt;"",F48&lt;&gt;"הושלם",F48&lt;&gt;"בוטל",OR(ISNUMBER(SEARCH("תמר",D48)))),IF(K48="",99999,K48)+ROW()/100000,"")</f>
        <v/>
      </c>
      <c r="AA48" s="114">
        <f>IF(AND($A48&lt;&gt;"",F48&lt;&gt;"הושלם",F48&lt;&gt;"בוטל",NOT(ISNUMBER(SEARCH("אריאל",D48))),NOT(ISNUMBER(SEARCH("רינת",D48))),NOT(ISNUMBER(SEARCH("תמר",D48))),D48&lt;&gt;"כל המשפחה"),IF(K48="",99999,K48)+ROW()/100000,"")</f>
        <v/>
      </c>
    </row>
    <row r="49">
      <c r="A49" s="104" t="inlineStr">
        <is>
          <t>T-071</t>
        </is>
      </c>
      <c r="B49" s="105" t="inlineStr">
        <is>
          <t>7 חוץ ופיתוח</t>
        </is>
      </c>
      <c r="C49" s="106" t="inlineStr">
        <is>
          <t>ריצוף, גינה, גידור, תאורה, מטבח חוץ</t>
        </is>
      </c>
      <c r="D49" s="105" t="inlineStr">
        <is>
          <t>קבלן/גנן</t>
        </is>
      </c>
      <c r="E49" s="107" t="inlineStr">
        <is>
          <t>נמוכה</t>
        </is>
      </c>
      <c r="F49" s="107" t="inlineStr">
        <is>
          <t>לא התחיל</t>
        </is>
      </c>
      <c r="G49" s="108">
        <f>IF($A49="","",IF(AND(F49&lt;&gt;"הושלם",F49&lt;&gt;"בוטל",K49&lt;&gt;"",K49&lt;Today_),"באיחור",IF(F49="","לא התחיל",F49)))</f>
        <v/>
      </c>
      <c r="H49" s="109" t="n"/>
      <c r="I49" s="110">
        <f>IF($A49="","",IF(H49&lt;&gt;"",H49,IF(F49="הושלם",1,IF(F49="בתהליך",0.5,IF(OR(F49="ממתין",F49="תקוע"),0.25,0)))))</f>
        <v/>
      </c>
      <c r="J49" s="111">
        <f>IF(OR($A49="",O49=""),"",IF(AND(N49="K",KeyActual&lt;&gt;""),O49+(KeyActual-KeyA),IF(Scenario="B",IF(Q49="",O49,Q49),O49)))</f>
        <v/>
      </c>
      <c r="K49" s="111">
        <f>IF(OR($A49="",P49=""),"",IF(AND(N49="K",KeyActual&lt;&gt;""),P49+(KeyActual-KeyA),IF(Scenario="B",IF(R49="",P49,R49),P49)))</f>
        <v/>
      </c>
      <c r="L49" s="112">
        <f>IF(OR($A49="",K49=""),"",IF(OR(F49="הושלם",F49="בוטל"),"",K49-Today_))</f>
        <v/>
      </c>
      <c r="M49" s="105" t="inlineStr">
        <is>
          <t>T-070</t>
        </is>
      </c>
      <c r="N49" s="108" t="inlineStr">
        <is>
          <t>K</t>
        </is>
      </c>
      <c r="O49" s="113" t="n">
        <v>46417</v>
      </c>
      <c r="P49" s="113" t="n">
        <v>46477</v>
      </c>
      <c r="Q49" s="113" t="n">
        <v>46452</v>
      </c>
      <c r="R49" s="113" t="n">
        <v>46512</v>
      </c>
      <c r="S49" s="105" t="n"/>
      <c r="T49" s="105" t="n"/>
      <c r="U49" s="105" t="inlineStr">
        <is>
          <t>יכול לרוץ אחרי כניסה</t>
        </is>
      </c>
      <c r="V49" s="114">
        <f>IF(AND($A49&lt;&gt;"",F49&lt;&gt;"הושלם",F49&lt;&gt;"בוטל",J49&lt;&gt;""),IF(J49&lt;=Today_+14,IF(K49="",99999,K49)+ROW()/100000,""),"")</f>
        <v/>
      </c>
      <c r="W49" s="114">
        <f>IFERROR(IF($A49="","",CHOOSE(MATCH(G49,{"לא התחיל","בתהליך","ממתין","תקוע","באיחור","הושלם","בוטל"},0),1,2,3,3,4,5,6)*100000+IF(K49="",99999,K49)+ROW()/1000000),"")</f>
        <v/>
      </c>
      <c r="X49" s="114">
        <f>IF(AND($A49&lt;&gt;"",F49&lt;&gt;"הושלם",F49&lt;&gt;"בוטל",OR(ISNUMBER(SEARCH("אריאל",D49)),D49="כל המשפחה")),IF(K49="",99999,K49)+ROW()/100000,"")</f>
        <v/>
      </c>
      <c r="Y49" s="114">
        <f>IF(AND($A49&lt;&gt;"",F49&lt;&gt;"הושלם",F49&lt;&gt;"בוטל",OR(ISNUMBER(SEARCH("רינת",D49)),D49="כל המשפחה")),IF(K49="",99999,K49)+ROW()/100000,"")</f>
        <v/>
      </c>
      <c r="Z49" s="114">
        <f>IF(AND($A49&lt;&gt;"",F49&lt;&gt;"הושלם",F49&lt;&gt;"בוטל",OR(ISNUMBER(SEARCH("תמר",D49)))),IF(K49="",99999,K49)+ROW()/100000,"")</f>
        <v/>
      </c>
      <c r="AA49" s="114">
        <f>IF(AND($A49&lt;&gt;"",F49&lt;&gt;"הושלם",F49&lt;&gt;"בוטל",NOT(ISNUMBER(SEARCH("אריאל",D49))),NOT(ISNUMBER(SEARCH("רינת",D49))),NOT(ISNUMBER(SEARCH("תמר",D49))),D49&lt;&gt;"כל המשפחה"),IF(K49="",99999,K49)+ROW()/100000,"")</f>
        <v/>
      </c>
    </row>
    <row r="50">
      <c r="A50" s="104" t="inlineStr">
        <is>
          <t>T-080</t>
        </is>
      </c>
      <c r="B50" s="105" t="inlineStr">
        <is>
          <t>8 ריהוט</t>
        </is>
      </c>
      <c r="C50" s="106" t="inlineStr">
        <is>
          <t>שולחן ל-20, שזלונג, ספה נפתחת, כיסאות בר</t>
        </is>
      </c>
      <c r="D50" s="105" t="inlineStr">
        <is>
          <t>אריאל+רינת</t>
        </is>
      </c>
      <c r="E50" s="107" t="inlineStr">
        <is>
          <t>נמוכה</t>
        </is>
      </c>
      <c r="F50" s="107" t="inlineStr">
        <is>
          <t>לא התחיל</t>
        </is>
      </c>
      <c r="G50" s="108">
        <f>IF($A50="","",IF(AND(F50&lt;&gt;"הושלם",F50&lt;&gt;"בוטל",K50&lt;&gt;"",K50&lt;Today_),"באיחור",IF(F50="","לא התחיל",F50)))</f>
        <v/>
      </c>
      <c r="H50" s="109" t="n"/>
      <c r="I50" s="110">
        <f>IF($A50="","",IF(H50&lt;&gt;"",H50,IF(F50="הושלם",1,IF(F50="בתהליך",0.5,IF(OR(F50="ממתין",F50="תקוע"),0.25,0)))))</f>
        <v/>
      </c>
      <c r="J50" s="111">
        <f>IF(OR($A50="",O50=""),"",IF(AND(N50="K",KeyActual&lt;&gt;""),O50+(KeyActual-KeyA),IF(Scenario="B",IF(Q50="",O50,Q50),O50)))</f>
        <v/>
      </c>
      <c r="K50" s="111">
        <f>IF(OR($A50="",P50=""),"",IF(AND(N50="K",KeyActual&lt;&gt;""),P50+(KeyActual-KeyA),IF(Scenario="B",IF(R50="",P50,R50),P50)))</f>
        <v/>
      </c>
      <c r="L50" s="112">
        <f>IF(OR($A50="",K50=""),"",IF(OR(F50="הושלם",F50="בוטל"),"",K50-Today_))</f>
        <v/>
      </c>
      <c r="M50" s="105" t="inlineStr">
        <is>
          <t>T-051,T-058</t>
        </is>
      </c>
      <c r="N50" s="108" t="inlineStr">
        <is>
          <t>K</t>
        </is>
      </c>
      <c r="O50" s="113" t="n">
        <v>46413</v>
      </c>
      <c r="P50" s="113" t="n">
        <v>46457</v>
      </c>
      <c r="Q50" s="113" t="n">
        <v>46448</v>
      </c>
      <c r="R50" s="113" t="n">
        <v>46492</v>
      </c>
      <c r="S50" s="105" t="inlineStr">
        <is>
          <t>רק אחרי מידות סופיות/חלונות</t>
        </is>
      </c>
      <c r="T50" s="105" t="inlineStr">
        <is>
          <t>procurement_list.md</t>
        </is>
      </c>
      <c r="U50" s="105" t="inlineStr">
        <is>
          <t>לא לרכוש לפני מידות</t>
        </is>
      </c>
      <c r="V50" s="114">
        <f>IF(AND($A50&lt;&gt;"",F50&lt;&gt;"הושלם",F50&lt;&gt;"בוטל",J50&lt;&gt;""),IF(J50&lt;=Today_+14,IF(K50="",99999,K50)+ROW()/100000,""),"")</f>
        <v/>
      </c>
      <c r="W50" s="114">
        <f>IFERROR(IF($A50="","",CHOOSE(MATCH(G50,{"לא התחיל","בתהליך","ממתין","תקוע","באיחור","הושלם","בוטל"},0),1,2,3,3,4,5,6)*100000+IF(K50="",99999,K50)+ROW()/1000000),"")</f>
        <v/>
      </c>
      <c r="X50" s="114">
        <f>IF(AND($A50&lt;&gt;"",F50&lt;&gt;"הושלם",F50&lt;&gt;"בוטל",OR(ISNUMBER(SEARCH("אריאל",D50)),D50="כל המשפחה")),IF(K50="",99999,K50)+ROW()/100000,"")</f>
        <v/>
      </c>
      <c r="Y50" s="114">
        <f>IF(AND($A50&lt;&gt;"",F50&lt;&gt;"הושלם",F50&lt;&gt;"בוטל",OR(ISNUMBER(SEARCH("רינת",D50)),D50="כל המשפחה")),IF(K50="",99999,K50)+ROW()/100000,"")</f>
        <v/>
      </c>
      <c r="Z50" s="114">
        <f>IF(AND($A50&lt;&gt;"",F50&lt;&gt;"הושלם",F50&lt;&gt;"בוטל",OR(ISNUMBER(SEARCH("תמר",D50)))),IF(K50="",99999,K50)+ROW()/100000,"")</f>
        <v/>
      </c>
      <c r="AA50" s="114">
        <f>IF(AND($A50&lt;&gt;"",F50&lt;&gt;"הושלם",F50&lt;&gt;"בוטל",NOT(ISNUMBER(SEARCH("אריאל",D50))),NOT(ISNUMBER(SEARCH("רינת",D50))),NOT(ISNUMBER(SEARCH("תמר",D50))),D50&lt;&gt;"כל המשפחה"),IF(K50="",99999,K50)+ROW()/100000,"")</f>
        <v/>
      </c>
    </row>
    <row r="51">
      <c r="A51" s="104" t="inlineStr">
        <is>
          <t>T-081</t>
        </is>
      </c>
      <c r="B51" s="105" t="inlineStr">
        <is>
          <t>8 ריהוט</t>
        </is>
      </c>
      <c r="C51" s="106" t="inlineStr">
        <is>
          <t>מקררים ומכשירי חשמל</t>
        </is>
      </c>
      <c r="D51" s="105" t="inlineStr">
        <is>
          <t>אריאל+רינת</t>
        </is>
      </c>
      <c r="E51" s="107" t="inlineStr">
        <is>
          <t>בינונית</t>
        </is>
      </c>
      <c r="F51" s="107" t="inlineStr">
        <is>
          <t>לא התחיל</t>
        </is>
      </c>
      <c r="G51" s="108">
        <f>IF($A51="","",IF(AND(F51&lt;&gt;"הושלם",F51&lt;&gt;"בוטל",K51&lt;&gt;"",K51&lt;Today_),"באיחור",IF(F51="","לא התחיל",F51)))</f>
        <v/>
      </c>
      <c r="H51" s="109" t="n"/>
      <c r="I51" s="110">
        <f>IF($A51="","",IF(H51&lt;&gt;"",H51,IF(F51="הושלם",1,IF(F51="בתהליך",0.5,IF(OR(F51="ממתין",F51="תקוע"),0.25,0)))))</f>
        <v/>
      </c>
      <c r="J51" s="111">
        <f>IF(OR($A51="",O51=""),"",IF(AND(N51="K",KeyActual&lt;&gt;""),O51+(KeyActual-KeyA),IF(Scenario="B",IF(Q51="",O51,Q51),O51)))</f>
        <v/>
      </c>
      <c r="K51" s="111">
        <f>IF(OR($A51="",P51=""),"",IF(AND(N51="K",KeyActual&lt;&gt;""),P51+(KeyActual-KeyA),IF(Scenario="B",IF(R51="",P51,R51),P51)))</f>
        <v/>
      </c>
      <c r="L51" s="112">
        <f>IF(OR($A51="",K51=""),"",IF(OR(F51="הושלם",F51="בוטל"),"",K51-Today_))</f>
        <v/>
      </c>
      <c r="M51" s="105" t="inlineStr">
        <is>
          <t>T-022</t>
        </is>
      </c>
      <c r="N51" s="108" t="inlineStr">
        <is>
          <t>F</t>
        </is>
      </c>
      <c r="O51" s="113" t="n">
        <v>46348</v>
      </c>
      <c r="P51" s="113" t="n">
        <v>46376</v>
      </c>
      <c r="Q51" s="113" t="n">
        <v>46348</v>
      </c>
      <c r="R51" s="113" t="n">
        <v>46376</v>
      </c>
      <c r="S51" s="105" t="inlineStr">
        <is>
          <t>מידות לפני הזמנת מטבח</t>
        </is>
      </c>
      <c r="T51" s="105" t="n"/>
      <c r="U51" s="105" t="inlineStr">
        <is>
          <t>הזמנה באישור</t>
        </is>
      </c>
      <c r="V51" s="114">
        <f>IF(AND($A51&lt;&gt;"",F51&lt;&gt;"הושלם",F51&lt;&gt;"בוטל",J51&lt;&gt;""),IF(J51&lt;=Today_+14,IF(K51="",99999,K51)+ROW()/100000,""),"")</f>
        <v/>
      </c>
      <c r="W51" s="114">
        <f>IFERROR(IF($A51="","",CHOOSE(MATCH(G51,{"לא התחיל","בתהליך","ממתין","תקוע","באיחור","הושלם","בוטל"},0),1,2,3,3,4,5,6)*100000+IF(K51="",99999,K51)+ROW()/1000000),"")</f>
        <v/>
      </c>
      <c r="X51" s="114">
        <f>IF(AND($A51&lt;&gt;"",F51&lt;&gt;"הושלם",F51&lt;&gt;"בוטל",OR(ISNUMBER(SEARCH("אריאל",D51)),D51="כל המשפחה")),IF(K51="",99999,K51)+ROW()/100000,"")</f>
        <v/>
      </c>
      <c r="Y51" s="114">
        <f>IF(AND($A51&lt;&gt;"",F51&lt;&gt;"הושלם",F51&lt;&gt;"בוטל",OR(ISNUMBER(SEARCH("רינת",D51)),D51="כל המשפחה")),IF(K51="",99999,K51)+ROW()/100000,"")</f>
        <v/>
      </c>
      <c r="Z51" s="114">
        <f>IF(AND($A51&lt;&gt;"",F51&lt;&gt;"הושלם",F51&lt;&gt;"בוטל",OR(ISNUMBER(SEARCH("תמר",D51)))),IF(K51="",99999,K51)+ROW()/100000,"")</f>
        <v/>
      </c>
      <c r="AA51" s="114">
        <f>IF(AND($A51&lt;&gt;"",F51&lt;&gt;"הושלם",F51&lt;&gt;"בוטל",NOT(ISNUMBER(SEARCH("אריאל",D51))),NOT(ISNUMBER(SEARCH("רינת",D51))),NOT(ISNUMBER(SEARCH("תמר",D51))),D51&lt;&gt;"כל המשפחה"),IF(K51="",99999,K51)+ROW()/100000,"")</f>
        <v/>
      </c>
    </row>
    <row r="52">
      <c r="A52" s="104" t="inlineStr">
        <is>
          <t>T-090</t>
        </is>
      </c>
      <c r="B52" s="105" t="inlineStr">
        <is>
          <t>ניהול</t>
        </is>
      </c>
      <c r="C52" s="106" t="inlineStr">
        <is>
          <t>סטטוס שבועי + עדכון מאגרים</t>
        </is>
      </c>
      <c r="D52" s="105" t="inlineStr">
        <is>
          <t>תמר (בוט)</t>
        </is>
      </c>
      <c r="E52" s="107" t="inlineStr">
        <is>
          <t>בינונית</t>
        </is>
      </c>
      <c r="F52" s="107" t="inlineStr">
        <is>
          <t>לא התחיל</t>
        </is>
      </c>
      <c r="G52" s="108">
        <f>IF($A52="","",IF(AND(F52&lt;&gt;"הושלם",F52&lt;&gt;"בוטל",K52&lt;&gt;"",K52&lt;Today_),"באיחור",IF(F52="","לא התחיל",F52)))</f>
        <v/>
      </c>
      <c r="H52" s="109" t="n"/>
      <c r="I52" s="110">
        <f>IF($A52="","",IF(H52&lt;&gt;"",H52,IF(F52="הושלם",1,IF(F52="בתהליך",0.5,IF(OR(F52="ממתין",F52="תקוע"),0.25,0)))))</f>
        <v/>
      </c>
      <c r="J52" s="111">
        <f>IF(OR($A52="",O52=""),"",IF(AND(N52="K",KeyActual&lt;&gt;""),O52+(KeyActual-KeyA),IF(Scenario="B",IF(Q52="",O52,Q52),O52)))</f>
        <v/>
      </c>
      <c r="K52" s="111">
        <f>IF(OR($A52="",P52=""),"",IF(AND(N52="K",KeyActual&lt;&gt;""),P52+(KeyActual-KeyA),IF(Scenario="B",IF(R52="",P52,R52),P52)))</f>
        <v/>
      </c>
      <c r="L52" s="112">
        <f>IF(OR($A52="",K52=""),"",IF(OR(F52="הושלם",F52="בוטל"),"",K52-Today_))</f>
        <v/>
      </c>
      <c r="M52" s="105" t="inlineStr">
        <is>
          <t>—</t>
        </is>
      </c>
      <c r="N52" s="108" t="inlineStr">
        <is>
          <t>F</t>
        </is>
      </c>
      <c r="O52" s="113" t="n">
        <v>46310</v>
      </c>
      <c r="P52" s="113" t="n">
        <v>46477</v>
      </c>
      <c r="Q52" s="113" t="n">
        <v>46310</v>
      </c>
      <c r="R52" s="113" t="n">
        <v>46477</v>
      </c>
      <c r="S52" s="105" t="inlineStr">
        <is>
          <t>Decision Log, Open Questions, Risk, Budget</t>
        </is>
      </c>
      <c r="T52" s="105" t="n"/>
      <c r="U52" s="105" t="inlineStr">
        <is>
          <t>כל שבוע</t>
        </is>
      </c>
      <c r="V52" s="114">
        <f>IF(AND($A52&lt;&gt;"",F52&lt;&gt;"הושלם",F52&lt;&gt;"בוטל",J52&lt;&gt;""),IF(J52&lt;=Today_+14,IF(K52="",99999,K52)+ROW()/100000,""),"")</f>
        <v/>
      </c>
      <c r="W52" s="114">
        <f>IFERROR(IF($A52="","",CHOOSE(MATCH(G52,{"לא התחיל","בתהליך","ממתין","תקוע","באיחור","הושלם","בוטל"},0),1,2,3,3,4,5,6)*100000+IF(K52="",99999,K52)+ROW()/1000000),"")</f>
        <v/>
      </c>
      <c r="X52" s="114">
        <f>IF(AND($A52&lt;&gt;"",F52&lt;&gt;"הושלם",F52&lt;&gt;"בוטל",OR(ISNUMBER(SEARCH("אריאל",D52)),D52="כל המשפחה")),IF(K52="",99999,K52)+ROW()/100000,"")</f>
        <v/>
      </c>
      <c r="Y52" s="114">
        <f>IF(AND($A52&lt;&gt;"",F52&lt;&gt;"הושלם",F52&lt;&gt;"בוטל",OR(ISNUMBER(SEARCH("רינת",D52)),D52="כל המשפחה")),IF(K52="",99999,K52)+ROW()/100000,"")</f>
        <v/>
      </c>
      <c r="Z52" s="114">
        <f>IF(AND($A52&lt;&gt;"",F52&lt;&gt;"הושלם",F52&lt;&gt;"בוטל",OR(ISNUMBER(SEARCH("תמר",D52)))),IF(K52="",99999,K52)+ROW()/100000,"")</f>
        <v/>
      </c>
      <c r="AA52" s="114">
        <f>IF(AND($A52&lt;&gt;"",F52&lt;&gt;"הושלם",F52&lt;&gt;"בוטל",NOT(ISNUMBER(SEARCH("אריאל",D52))),NOT(ISNUMBER(SEARCH("רינת",D52))),NOT(ISNUMBER(SEARCH("תמר",D52))),D52&lt;&gt;"כל המשפחה"),IF(K52="",99999,K52)+ROW()/100000,"")</f>
        <v/>
      </c>
    </row>
    <row r="53">
      <c r="A53" s="104" t="inlineStr">
        <is>
          <t>T-100</t>
        </is>
      </c>
      <c r="B53" s="105" t="inlineStr">
        <is>
          <t>הכנה למעבר</t>
        </is>
      </c>
      <c r="C53" s="106" t="inlineStr">
        <is>
          <t>מסירת הדירה השכורה + החזר פיקדון/ערבות</t>
        </is>
      </c>
      <c r="D53" s="105" t="inlineStr">
        <is>
          <t>אריאל</t>
        </is>
      </c>
      <c r="E53" s="107" t="inlineStr">
        <is>
          <t>גבוהה</t>
        </is>
      </c>
      <c r="F53" s="107" t="inlineStr">
        <is>
          <t>לא התחיל</t>
        </is>
      </c>
      <c r="G53" s="108">
        <f>IF($A53="","",IF(AND(F53&lt;&gt;"הושלם",F53&lt;&gt;"בוטל",K53&lt;&gt;"",K53&lt;Today_),"באיחור",IF(F53="","לא התחיל",F53)))</f>
        <v/>
      </c>
      <c r="H53" s="109" t="n"/>
      <c r="I53" s="110">
        <f>IF($A53="","",IF(H53&lt;&gt;"",H53,IF(F53="הושלם",1,IF(F53="בתהליך",0.5,IF(OR(F53="ממתין",F53="תקוע"),0.25,0)))))</f>
        <v/>
      </c>
      <c r="J53" s="111">
        <f>IF(OR($A53="",O53=""),"",IF(AND(N53="K",KeyActual&lt;&gt;""),O53+(KeyActual-KeyA),IF(Scenario="B",IF(Q53="",O53,Q53),O53)))</f>
        <v/>
      </c>
      <c r="K53" s="111">
        <f>IF(OR($A53="",P53=""),"",IF(AND(N53="K",KeyActual&lt;&gt;""),P53+(KeyActual-KeyA),IF(Scenario="B",IF(R53="",P53,R53),P53)))</f>
        <v/>
      </c>
      <c r="L53" s="112">
        <f>IF(OR($A53="",K53=""),"",IF(OR(F53="הושלם",F53="בוטל"),"",K53-Today_))</f>
        <v/>
      </c>
      <c r="M53" s="105" t="inlineStr">
        <is>
          <t>T-060</t>
        </is>
      </c>
      <c r="N53" s="108" t="inlineStr">
        <is>
          <t>F</t>
        </is>
      </c>
      <c r="O53" s="113" t="n">
        <v>46343</v>
      </c>
      <c r="P53" s="113" t="n">
        <v>46387</v>
      </c>
      <c r="Q53" s="113" t="n">
        <v>46343</v>
      </c>
      <c r="R53" s="113" t="n">
        <v>46387</v>
      </c>
      <c r="S53" s="105" t="inlineStr">
        <is>
          <t>צילום מצב, תיקונים, ניקיון, קריאת מונים, ניתוק/העברת חשבונות, החזר פיקדון/ערבות/צ'קים</t>
        </is>
      </c>
      <c r="T53" s="105" t="inlineStr">
        <is>
          <t>חוזה שכירות, פרוטוקול כניסה, ערבות</t>
        </is>
      </c>
      <c r="U53" s="105" t="inlineStr">
        <is>
          <t>לבדוק תנאי החזר בחוזה</t>
        </is>
      </c>
      <c r="V53" s="114">
        <f>IF(AND($A53&lt;&gt;"",F53&lt;&gt;"הושלם",F53&lt;&gt;"בוטל",J53&lt;&gt;""),IF(J53&lt;=Today_+14,IF(K53="",99999,K53)+ROW()/100000,""),"")</f>
        <v/>
      </c>
      <c r="W53" s="114">
        <f>IFERROR(IF($A53="","",CHOOSE(MATCH(G53,{"לא התחיל","בתהליך","ממתין","תקוע","באיחור","הושלם","בוטל"},0),1,2,3,3,4,5,6)*100000+IF(K53="",99999,K53)+ROW()/1000000),"")</f>
        <v/>
      </c>
      <c r="X53" s="114">
        <f>IF(AND($A53&lt;&gt;"",F53&lt;&gt;"הושלם",F53&lt;&gt;"בוטל",OR(ISNUMBER(SEARCH("אריאל",D53)),D53="כל המשפחה")),IF(K53="",99999,K53)+ROW()/100000,"")</f>
        <v/>
      </c>
      <c r="Y53" s="114">
        <f>IF(AND($A53&lt;&gt;"",F53&lt;&gt;"הושלם",F53&lt;&gt;"בוטל",OR(ISNUMBER(SEARCH("רינת",D53)),D53="כל המשפחה")),IF(K53="",99999,K53)+ROW()/100000,"")</f>
        <v/>
      </c>
      <c r="Z53" s="114">
        <f>IF(AND($A53&lt;&gt;"",F53&lt;&gt;"הושלם",F53&lt;&gt;"בוטל",OR(ISNUMBER(SEARCH("תמר",D53)))),IF(K53="",99999,K53)+ROW()/100000,"")</f>
        <v/>
      </c>
      <c r="AA53" s="114">
        <f>IF(AND($A53&lt;&gt;"",F53&lt;&gt;"הושלם",F53&lt;&gt;"בוטל",NOT(ISNUMBER(SEARCH("אריאל",D53))),NOT(ISNUMBER(SEARCH("רינת",D53))),NOT(ISNUMBER(SEARCH("תמר",D53))),D53&lt;&gt;"כל המשפחה"),IF(K53="",99999,K53)+ROW()/100000,"")</f>
        <v/>
      </c>
    </row>
    <row r="54">
      <c r="A54" s="104" t="inlineStr">
        <is>
          <t>T-101</t>
        </is>
      </c>
      <c r="B54" s="105" t="inlineStr">
        <is>
          <t>הכנה למעבר</t>
        </is>
      </c>
      <c r="C54" s="106" t="inlineStr">
        <is>
          <t>שער החלטה: תרחיש A או B</t>
        </is>
      </c>
      <c r="D54" s="105" t="inlineStr">
        <is>
          <t>אריאל+רינת</t>
        </is>
      </c>
      <c r="E54" s="107" t="inlineStr">
        <is>
          <t>גבוהה</t>
        </is>
      </c>
      <c r="F54" s="107" t="inlineStr">
        <is>
          <t>לא התחיל</t>
        </is>
      </c>
      <c r="G54" s="108">
        <f>IF($A54="","",IF(AND(F54&lt;&gt;"הושלם",F54&lt;&gt;"בוטל",K54&lt;&gt;"",K54&lt;Today_),"באיחור",IF(F54="","לא התחיל",F54)))</f>
        <v/>
      </c>
      <c r="H54" s="109" t="n"/>
      <c r="I54" s="110">
        <f>IF($A54="","",IF(H54&lt;&gt;"",H54,IF(F54="הושלם",1,IF(F54="בתהליך",0.5,IF(OR(F54="ממתין",F54="תקוע"),0.25,0)))))</f>
        <v/>
      </c>
      <c r="J54" s="111">
        <f>IF(OR($A54="",O54=""),"",IF(AND(N54="K",KeyActual&lt;&gt;""),O54+(KeyActual-KeyA),IF(Scenario="B",IF(Q54="",O54,Q54),O54)))</f>
        <v/>
      </c>
      <c r="K54" s="111">
        <f>IF(OR($A54="",P54=""),"",IF(AND(N54="K",KeyActual&lt;&gt;""),P54+(KeyActual-KeyA),IF(Scenario="B",IF(R54="",P54,R54),P54)))</f>
        <v/>
      </c>
      <c r="L54" s="112">
        <f>IF(OR($A54="",K54=""),"",IF(OR(F54="הושלם",F54="בוטל"),"",K54-Today_))</f>
        <v/>
      </c>
      <c r="M54" s="105" t="inlineStr">
        <is>
          <t>T-004,T-060</t>
        </is>
      </c>
      <c r="N54" s="108" t="inlineStr">
        <is>
          <t>F</t>
        </is>
      </c>
      <c r="O54" s="113" t="n">
        <v>46327</v>
      </c>
      <c r="P54" s="113" t="n">
        <v>46336</v>
      </c>
      <c r="Q54" s="113" t="n">
        <v>46327</v>
      </c>
      <c r="R54" s="113" t="n">
        <v>46336</v>
      </c>
      <c r="S54" s="105" t="inlineStr">
        <is>
          <t>לפי מועד המפתח המאושר מול תאריך הפינוי</t>
        </is>
      </c>
      <c r="T54" s="105" t="inlineStr">
        <is>
          <t>אישור בכתב על מועד מסירה</t>
        </is>
      </c>
      <c r="U54" s="105" t="inlineStr">
        <is>
          <t>מועד אחרון להחלטה (הנחה): ~3 שבועות לפני פינוי</t>
        </is>
      </c>
      <c r="V54" s="114">
        <f>IF(AND($A54&lt;&gt;"",F54&lt;&gt;"הושלם",F54&lt;&gt;"בוטל",J54&lt;&gt;""),IF(J54&lt;=Today_+14,IF(K54="",99999,K54)+ROW()/100000,""),"")</f>
        <v/>
      </c>
      <c r="W54" s="114">
        <f>IFERROR(IF($A54="","",CHOOSE(MATCH(G54,{"לא התחיל","בתהליך","ממתין","תקוע","באיחור","הושלם","בוטל"},0),1,2,3,3,4,5,6)*100000+IF(K54="",99999,K54)+ROW()/1000000),"")</f>
        <v/>
      </c>
      <c r="X54" s="114">
        <f>IF(AND($A54&lt;&gt;"",F54&lt;&gt;"הושלם",F54&lt;&gt;"בוטל",OR(ISNUMBER(SEARCH("אריאל",D54)),D54="כל המשפחה")),IF(K54="",99999,K54)+ROW()/100000,"")</f>
        <v/>
      </c>
      <c r="Y54" s="114">
        <f>IF(AND($A54&lt;&gt;"",F54&lt;&gt;"הושלם",F54&lt;&gt;"בוטל",OR(ISNUMBER(SEARCH("רינת",D54)),D54="כל המשפחה")),IF(K54="",99999,K54)+ROW()/100000,"")</f>
        <v/>
      </c>
      <c r="Z54" s="114">
        <f>IF(AND($A54&lt;&gt;"",F54&lt;&gt;"הושלם",F54&lt;&gt;"בוטל",OR(ISNUMBER(SEARCH("תמר",D54)))),IF(K54="",99999,K54)+ROW()/100000,"")</f>
        <v/>
      </c>
      <c r="AA54" s="114">
        <f>IF(AND($A54&lt;&gt;"",F54&lt;&gt;"הושלם",F54&lt;&gt;"בוטל",NOT(ISNUMBER(SEARCH("אריאל",D54))),NOT(ISNUMBER(SEARCH("רינת",D54))),NOT(ISNUMBER(SEARCH("תמר",D54))),D54&lt;&gt;"כל המשפחה"),IF(K54="",99999,K54)+ROW()/100000,"")</f>
        <v/>
      </c>
    </row>
    <row r="55">
      <c r="A55" s="104" t="inlineStr">
        <is>
          <t>T-110</t>
        </is>
      </c>
      <c r="B55" s="105" t="inlineStr">
        <is>
          <t>A: מגורים בזמן שיפוץ</t>
        </is>
      </c>
      <c r="C55" s="106" t="inlineStr">
        <is>
          <t>הגדרת מינימום למגורים לפני כניסה</t>
        </is>
      </c>
      <c r="D55" s="105" t="inlineStr">
        <is>
          <t>אריאל+רינת+קבלן</t>
        </is>
      </c>
      <c r="E55" s="107" t="inlineStr">
        <is>
          <t>גבוהה</t>
        </is>
      </c>
      <c r="F55" s="107" t="inlineStr">
        <is>
          <t>לא התחיל</t>
        </is>
      </c>
      <c r="G55" s="108">
        <f>IF($A55="","",IF(AND(F55&lt;&gt;"הושלם",F55&lt;&gt;"בוטל",K55&lt;&gt;"",K55&lt;Today_),"באיחור",IF(F55="","לא התחיל",F55)))</f>
        <v/>
      </c>
      <c r="H55" s="109" t="n"/>
      <c r="I55" s="110">
        <f>IF($A55="","",IF(H55&lt;&gt;"",H55,IF(F55="הושלם",1,IF(F55="בתהליך",0.5,IF(OR(F55="ממתין",F55="תקוע"),0.25,0)))))</f>
        <v/>
      </c>
      <c r="J55" s="111">
        <f>IF(OR($A55="",O55=""),"",IF(AND(N55="K",KeyActual&lt;&gt;""),O55+(KeyActual-KeyA),IF(Scenario="B",IF(Q55="",O55,Q55),O55)))</f>
        <v/>
      </c>
      <c r="K55" s="111">
        <f>IF(OR($A55="",P55=""),"",IF(AND(N55="K",KeyActual&lt;&gt;""),P55+(KeyActual-KeyA),IF(Scenario="B",IF(R55="",P55,R55),P55)))</f>
        <v/>
      </c>
      <c r="L55" s="112">
        <f>IF(OR($A55="",K55=""),"",IF(OR(F55="הושלם",F55="בוטל"),"",K55-Today_))</f>
        <v/>
      </c>
      <c r="M55" s="105" t="inlineStr">
        <is>
          <t>T-002,T-050</t>
        </is>
      </c>
      <c r="N55" s="108" t="inlineStr">
        <is>
          <t>F</t>
        </is>
      </c>
      <c r="O55" s="113" t="n">
        <v>46336</v>
      </c>
      <c r="P55" s="113" t="n">
        <v>46351</v>
      </c>
      <c r="Q55" s="113" t="n">
        <v>46336</v>
      </c>
      <c r="R55" s="113" t="n">
        <v>46351</v>
      </c>
      <c r="S55" s="105" t="inlineStr">
        <is>
          <t>חדר רחצה תקין אחד, מטבח זמני, חדרי שינה, בטיחות (חשמל, מעקות, גלאי עשן), הפרדת אבק, מקום לתכולה</t>
        </is>
      </c>
      <c r="T55" s="105" t="inlineStr">
        <is>
          <t>תוכנית שלבים מהקבלן</t>
        </is>
      </c>
      <c r="U55" s="105" t="inlineStr">
        <is>
          <t>תנאי כניסה</t>
        </is>
      </c>
      <c r="V55" s="114">
        <f>IF(AND($A55&lt;&gt;"",F55&lt;&gt;"הושלם",F55&lt;&gt;"בוטל",J55&lt;&gt;""),IF(J55&lt;=Today_+14,IF(K55="",99999,K55)+ROW()/100000,""),"")</f>
        <v/>
      </c>
      <c r="W55" s="114">
        <f>IFERROR(IF($A55="","",CHOOSE(MATCH(G55,{"לא התחיל","בתהליך","ממתין","תקוע","באיחור","הושלם","בוטל"},0),1,2,3,3,4,5,6)*100000+IF(K55="",99999,K55)+ROW()/1000000),"")</f>
        <v/>
      </c>
      <c r="X55" s="114">
        <f>IF(AND($A55&lt;&gt;"",F55&lt;&gt;"הושלם",F55&lt;&gt;"בוטל",OR(ISNUMBER(SEARCH("אריאל",D55)),D55="כל המשפחה")),IF(K55="",99999,K55)+ROW()/100000,"")</f>
        <v/>
      </c>
      <c r="Y55" s="114">
        <f>IF(AND($A55&lt;&gt;"",F55&lt;&gt;"הושלם",F55&lt;&gt;"בוטל",OR(ISNUMBER(SEARCH("רינת",D55)),D55="כל המשפחה")),IF(K55="",99999,K55)+ROW()/100000,"")</f>
        <v/>
      </c>
      <c r="Z55" s="114">
        <f>IF(AND($A55&lt;&gt;"",F55&lt;&gt;"הושלם",F55&lt;&gt;"בוטל",OR(ISNUMBER(SEARCH("תמר",D55)))),IF(K55="",99999,K55)+ROW()/100000,"")</f>
        <v/>
      </c>
      <c r="AA55" s="114">
        <f>IF(AND($A55&lt;&gt;"",F55&lt;&gt;"הושלם",F55&lt;&gt;"בוטל",NOT(ISNUMBER(SEARCH("אריאל",D55))),NOT(ISNUMBER(SEARCH("רינת",D55))),NOT(ISNUMBER(SEARCH("תמר",D55))),D55&lt;&gt;"כל המשפחה"),IF(K55="",99999,K55)+ROW()/100000,"")</f>
        <v/>
      </c>
    </row>
    <row r="56">
      <c r="A56" s="104" t="inlineStr">
        <is>
          <t>T-111</t>
        </is>
      </c>
      <c r="B56" s="105" t="inlineStr">
        <is>
          <t>A: מגורים בזמן שיפוץ</t>
        </is>
      </c>
      <c r="C56" s="106" t="inlineStr">
        <is>
          <t>מטבח זמני</t>
        </is>
      </c>
      <c r="D56" s="105" t="inlineStr">
        <is>
          <t>רינת</t>
        </is>
      </c>
      <c r="E56" s="107" t="inlineStr">
        <is>
          <t>בינונית</t>
        </is>
      </c>
      <c r="F56" s="107" t="inlineStr">
        <is>
          <t>לא התחיל</t>
        </is>
      </c>
      <c r="G56" s="108">
        <f>IF($A56="","",IF(AND(F56&lt;&gt;"הושלם",F56&lt;&gt;"בוטל",K56&lt;&gt;"",K56&lt;Today_),"באיחור",IF(F56="","לא התחיל",F56)))</f>
        <v/>
      </c>
      <c r="H56" s="109" t="n"/>
      <c r="I56" s="110">
        <f>IF($A56="","",IF(H56&lt;&gt;"",H56,IF(F56="הושלם",1,IF(F56="בתהליך",0.5,IF(OR(F56="ממתין",F56="תקוע"),0.25,0)))))</f>
        <v/>
      </c>
      <c r="J56" s="111">
        <f>IF(OR($A56="",O56=""),"",IF(AND(N56="K",KeyActual&lt;&gt;""),O56+(KeyActual-KeyA),IF(Scenario="B",IF(Q56="",O56,Q56),O56)))</f>
        <v/>
      </c>
      <c r="K56" s="111">
        <f>IF(OR($A56="",P56=""),"",IF(AND(N56="K",KeyActual&lt;&gt;""),P56+(KeyActual-KeyA),IF(Scenario="B",IF(R56="",P56,R56),P56)))</f>
        <v/>
      </c>
      <c r="L56" s="112">
        <f>IF(OR($A56="",K56=""),"",IF(OR(F56="הושלם",F56="בוטל"),"",K56-Today_))</f>
        <v/>
      </c>
      <c r="M56" s="105" t="inlineStr">
        <is>
          <t>T-110</t>
        </is>
      </c>
      <c r="N56" s="108" t="inlineStr">
        <is>
          <t>F</t>
        </is>
      </c>
      <c r="O56" s="113" t="n">
        <v>46346</v>
      </c>
      <c r="P56" s="113" t="n">
        <v>46356</v>
      </c>
      <c r="Q56" s="113" t="n">
        <v>46346</v>
      </c>
      <c r="R56" s="113" t="n">
        <v>46356</v>
      </c>
      <c r="S56" s="105" t="inlineStr">
        <is>
          <t>מקרר, משטח, כיור/מים, כיריים חשמליות</t>
        </is>
      </c>
      <c r="T56" s="105" t="n"/>
      <c r="U56" s="105" t="inlineStr">
        <is>
          <t>עד התקנת המטבח</t>
        </is>
      </c>
      <c r="V56" s="114">
        <f>IF(AND($A56&lt;&gt;"",F56&lt;&gt;"הושלם",F56&lt;&gt;"בוטל",J56&lt;&gt;""),IF(J56&lt;=Today_+14,IF(K56="",99999,K56)+ROW()/100000,""),"")</f>
        <v/>
      </c>
      <c r="W56" s="114">
        <f>IFERROR(IF($A56="","",CHOOSE(MATCH(G56,{"לא התחיל","בתהליך","ממתין","תקוע","באיחור","הושלם","בוטל"},0),1,2,3,3,4,5,6)*100000+IF(K56="",99999,K56)+ROW()/1000000),"")</f>
        <v/>
      </c>
      <c r="X56" s="114">
        <f>IF(AND($A56&lt;&gt;"",F56&lt;&gt;"הושלם",F56&lt;&gt;"בוטל",OR(ISNUMBER(SEARCH("אריאל",D56)),D56="כל המשפחה")),IF(K56="",99999,K56)+ROW()/100000,"")</f>
        <v/>
      </c>
      <c r="Y56" s="114">
        <f>IF(AND($A56&lt;&gt;"",F56&lt;&gt;"הושלם",F56&lt;&gt;"בוטל",OR(ISNUMBER(SEARCH("רינת",D56)),D56="כל המשפחה")),IF(K56="",99999,K56)+ROW()/100000,"")</f>
        <v/>
      </c>
      <c r="Z56" s="114">
        <f>IF(AND($A56&lt;&gt;"",F56&lt;&gt;"הושלם",F56&lt;&gt;"בוטל",OR(ISNUMBER(SEARCH("תמר",D56)))),IF(K56="",99999,K56)+ROW()/100000,"")</f>
        <v/>
      </c>
      <c r="AA56" s="114">
        <f>IF(AND($A56&lt;&gt;"",F56&lt;&gt;"הושלם",F56&lt;&gt;"בוטל",NOT(ISNUMBER(SEARCH("אריאל",D56))),NOT(ISNUMBER(SEARCH("רינת",D56))),NOT(ISNUMBER(SEARCH("תמר",D56))),D56&lt;&gt;"כל המשפחה"),IF(K56="",99999,K56)+ROW()/100000,"")</f>
        <v/>
      </c>
    </row>
    <row r="57">
      <c r="A57" s="104" t="inlineStr">
        <is>
          <t>T-112</t>
        </is>
      </c>
      <c r="B57" s="105" t="inlineStr">
        <is>
          <t>A: מגורים בזמן שיפוץ</t>
        </is>
      </c>
      <c r="C57" s="106" t="inlineStr">
        <is>
          <t>אחסון תכולה: מכולה/מחסן</t>
        </is>
      </c>
      <c r="D57" s="105" t="inlineStr">
        <is>
          <t>אריאל</t>
        </is>
      </c>
      <c r="E57" s="107" t="inlineStr">
        <is>
          <t>בינונית</t>
        </is>
      </c>
      <c r="F57" s="107" t="inlineStr">
        <is>
          <t>לא התחיל</t>
        </is>
      </c>
      <c r="G57" s="108">
        <f>IF($A57="","",IF(AND(F57&lt;&gt;"הושלם",F57&lt;&gt;"בוטל",K57&lt;&gt;"",K57&lt;Today_),"באיחור",IF(F57="","לא התחיל",F57)))</f>
        <v/>
      </c>
      <c r="H57" s="109" t="n"/>
      <c r="I57" s="110">
        <f>IF($A57="","",IF(H57&lt;&gt;"",H57,IF(F57="הושלם",1,IF(F57="בתהליך",0.5,IF(OR(F57="ממתין",F57="תקוע"),0.25,0)))))</f>
        <v/>
      </c>
      <c r="J57" s="111">
        <f>IF(OR($A57="",O57=""),"",IF(AND(N57="K",KeyActual&lt;&gt;""),O57+(KeyActual-KeyA),IF(Scenario="B",IF(Q57="",O57,Q57),O57)))</f>
        <v/>
      </c>
      <c r="K57" s="111">
        <f>IF(OR($A57="",P57=""),"",IF(AND(N57="K",KeyActual&lt;&gt;""),P57+(KeyActual-KeyA),IF(Scenario="B",IF(R57="",P57,R57),P57)))</f>
        <v/>
      </c>
      <c r="L57" s="112">
        <f>IF(OR($A57="",K57=""),"",IF(OR(F57="הושלם",F57="בוטל"),"",K57-Today_))</f>
        <v/>
      </c>
      <c r="M57" s="105" t="inlineStr">
        <is>
          <t>T-110</t>
        </is>
      </c>
      <c r="N57" s="108" t="inlineStr">
        <is>
          <t>F</t>
        </is>
      </c>
      <c r="O57" s="113" t="n">
        <v>46341</v>
      </c>
      <c r="P57" s="113" t="n">
        <v>46354</v>
      </c>
      <c r="Q57" s="113" t="n">
        <v>46341</v>
      </c>
      <c r="R57" s="113" t="n">
        <v>46354</v>
      </c>
      <c r="S57" s="105" t="inlineStr">
        <is>
          <t>מכולה בחצר או מחסן חיצוני; כיסוי ביטוחי</t>
        </is>
      </c>
      <c r="T57" s="105" t="inlineStr">
        <is>
          <t>מקום פנוי בחצר</t>
        </is>
      </c>
      <c r="U57" s="105" t="inlineStr">
        <is>
          <t>הצעות באישור</t>
        </is>
      </c>
      <c r="V57" s="114">
        <f>IF(AND($A57&lt;&gt;"",F57&lt;&gt;"הושלם",F57&lt;&gt;"בוטל",J57&lt;&gt;""),IF(J57&lt;=Today_+14,IF(K57="",99999,K57)+ROW()/100000,""),"")</f>
        <v/>
      </c>
      <c r="W57" s="114">
        <f>IFERROR(IF($A57="","",CHOOSE(MATCH(G57,{"לא התחיל","בתהליך","ממתין","תקוע","באיחור","הושלם","בוטל"},0),1,2,3,3,4,5,6)*100000+IF(K57="",99999,K57)+ROW()/1000000),"")</f>
        <v/>
      </c>
      <c r="X57" s="114">
        <f>IF(AND($A57&lt;&gt;"",F57&lt;&gt;"הושלם",F57&lt;&gt;"בוטל",OR(ISNUMBER(SEARCH("אריאל",D57)),D57="כל המשפחה")),IF(K57="",99999,K57)+ROW()/100000,"")</f>
        <v/>
      </c>
      <c r="Y57" s="114">
        <f>IF(AND($A57&lt;&gt;"",F57&lt;&gt;"הושלם",F57&lt;&gt;"בוטל",OR(ISNUMBER(SEARCH("רינת",D57)),D57="כל המשפחה")),IF(K57="",99999,K57)+ROW()/100000,"")</f>
        <v/>
      </c>
      <c r="Z57" s="114">
        <f>IF(AND($A57&lt;&gt;"",F57&lt;&gt;"הושלם",F57&lt;&gt;"בוטל",OR(ISNUMBER(SEARCH("תמר",D57)))),IF(K57="",99999,K57)+ROW()/100000,"")</f>
        <v/>
      </c>
      <c r="AA57" s="114">
        <f>IF(AND($A57&lt;&gt;"",F57&lt;&gt;"הושלם",F57&lt;&gt;"בוטל",NOT(ISNUMBER(SEARCH("אריאל",D57))),NOT(ISNUMBER(SEARCH("רינת",D57))),NOT(ISNUMBER(SEARCH("תמר",D57))),D57&lt;&gt;"כל המשפחה"),IF(K57="",99999,K57)+ROW()/100000,"")</f>
        <v/>
      </c>
    </row>
    <row r="58">
      <c r="A58" s="104" t="inlineStr">
        <is>
          <t>T-113</t>
        </is>
      </c>
      <c r="B58" s="105" t="inlineStr">
        <is>
          <t>A: מגורים בזמן שיפוץ</t>
        </is>
      </c>
      <c r="C58" s="106" t="inlineStr">
        <is>
          <t>שלביות חדר-אחר-חדר</t>
        </is>
      </c>
      <c r="D58" s="105" t="inlineStr">
        <is>
          <t>קבלן+אריאל</t>
        </is>
      </c>
      <c r="E58" s="107" t="inlineStr">
        <is>
          <t>בינונית</t>
        </is>
      </c>
      <c r="F58" s="107" t="inlineStr">
        <is>
          <t>לא התחיל</t>
        </is>
      </c>
      <c r="G58" s="108">
        <f>IF($A58="","",IF(AND(F58&lt;&gt;"הושלם",F58&lt;&gt;"בוטל",K58&lt;&gt;"",K58&lt;Today_),"באיחור",IF(F58="","לא התחיל",F58)))</f>
        <v/>
      </c>
      <c r="H58" s="109" t="n"/>
      <c r="I58" s="110">
        <f>IF($A58="","",IF(H58&lt;&gt;"",H58,IF(F58="הושלם",1,IF(F58="בתהליך",0.5,IF(OR(F58="ממתין",F58="תקוע"),0.25,0)))))</f>
        <v/>
      </c>
      <c r="J58" s="111">
        <f>IF(OR($A58="",O58=""),"",IF(AND(N58="K",KeyActual&lt;&gt;""),O58+(KeyActual-KeyA),IF(Scenario="B",IF(Q58="",O58,Q58),O58)))</f>
        <v/>
      </c>
      <c r="K58" s="111">
        <f>IF(OR($A58="",P58=""),"",IF(AND(N58="K",KeyActual&lt;&gt;""),P58+(KeyActual-KeyA),IF(Scenario="B",IF(R58="",P58,R58),P58)))</f>
        <v/>
      </c>
      <c r="L58" s="112">
        <f>IF(OR($A58="",K58=""),"",IF(OR(F58="הושלם",F58="בוטל"),"",K58-Today_))</f>
        <v/>
      </c>
      <c r="M58" s="105" t="inlineStr">
        <is>
          <t>T-031</t>
        </is>
      </c>
      <c r="N58" s="108" t="inlineStr">
        <is>
          <t>K</t>
        </is>
      </c>
      <c r="O58" s="113" t="n">
        <v>46350</v>
      </c>
      <c r="P58" s="113" t="n">
        <v>46364</v>
      </c>
      <c r="Q58" s="113" t="n">
        <v>46385</v>
      </c>
      <c r="R58" s="113" t="n">
        <v>46399</v>
      </c>
      <c r="S58" s="105" t="inlineStr">
        <is>
          <t>חלוקה לאזורי עבודה: קודם חלונות/מערכות, אזור מגורים סגור באבק; לסכם בחוזה</t>
        </is>
      </c>
      <c r="T58" s="105" t="inlineStr">
        <is>
          <t>כתב כמויות</t>
        </is>
      </c>
      <c r="U58" s="105" t="inlineStr">
        <is>
          <t>להכניס לחוזה</t>
        </is>
      </c>
      <c r="V58" s="114">
        <f>IF(AND($A58&lt;&gt;"",F58&lt;&gt;"הושלם",F58&lt;&gt;"בוטל",J58&lt;&gt;""),IF(J58&lt;=Today_+14,IF(K58="",99999,K58)+ROW()/100000,""),"")</f>
        <v/>
      </c>
      <c r="W58" s="114">
        <f>IFERROR(IF($A58="","",CHOOSE(MATCH(G58,{"לא התחיל","בתהליך","ממתין","תקוע","באיחור","הושלם","בוטל"},0),1,2,3,3,4,5,6)*100000+IF(K58="",99999,K58)+ROW()/1000000),"")</f>
        <v/>
      </c>
      <c r="X58" s="114">
        <f>IF(AND($A58&lt;&gt;"",F58&lt;&gt;"הושלם",F58&lt;&gt;"בוטל",OR(ISNUMBER(SEARCH("אריאל",D58)),D58="כל המשפחה")),IF(K58="",99999,K58)+ROW()/100000,"")</f>
        <v/>
      </c>
      <c r="Y58" s="114">
        <f>IF(AND($A58&lt;&gt;"",F58&lt;&gt;"הושלם",F58&lt;&gt;"בוטל",OR(ISNUMBER(SEARCH("רינת",D58)),D58="כל המשפחה")),IF(K58="",99999,K58)+ROW()/100000,"")</f>
        <v/>
      </c>
      <c r="Z58" s="114">
        <f>IF(AND($A58&lt;&gt;"",F58&lt;&gt;"הושלם",F58&lt;&gt;"בוטל",OR(ISNUMBER(SEARCH("תמר",D58)))),IF(K58="",99999,K58)+ROW()/100000,"")</f>
        <v/>
      </c>
      <c r="AA58" s="114">
        <f>IF(AND($A58&lt;&gt;"",F58&lt;&gt;"הושלם",F58&lt;&gt;"בוטל",NOT(ISNUMBER(SEARCH("אריאל",D58))),NOT(ISNUMBER(SEARCH("רינת",D58))),NOT(ISNUMBER(SEARCH("תמר",D58))),D58&lt;&gt;"כל המשפחה"),IF(K58="",99999,K58)+ROW()/100000,"")</f>
        <v/>
      </c>
    </row>
    <row r="59">
      <c r="A59" s="104" t="inlineStr">
        <is>
          <t>T-114</t>
        </is>
      </c>
      <c r="B59" s="105" t="inlineStr">
        <is>
          <t>A: מגורים בזמן שיפוץ</t>
        </is>
      </c>
      <c r="C59" s="106" t="inlineStr">
        <is>
          <t>שעות עבודה ורעש + שכנים</t>
        </is>
      </c>
      <c r="D59" s="105" t="inlineStr">
        <is>
          <t>קבלן+אריאל</t>
        </is>
      </c>
      <c r="E59" s="107" t="inlineStr">
        <is>
          <t>בינונית</t>
        </is>
      </c>
      <c r="F59" s="107" t="inlineStr">
        <is>
          <t>לא התחיל</t>
        </is>
      </c>
      <c r="G59" s="108">
        <f>IF($A59="","",IF(AND(F59&lt;&gt;"הושלם",F59&lt;&gt;"בוטל",K59&lt;&gt;"",K59&lt;Today_),"באיחור",IF(F59="","לא התחיל",F59)))</f>
        <v/>
      </c>
      <c r="H59" s="109" t="n"/>
      <c r="I59" s="110">
        <f>IF($A59="","",IF(H59&lt;&gt;"",H59,IF(F59="הושלם",1,IF(F59="בתהליך",0.5,IF(OR(F59="ממתין",F59="תקוע"),0.25,0)))))</f>
        <v/>
      </c>
      <c r="J59" s="111">
        <f>IF(OR($A59="",O59=""),"",IF(AND(N59="K",KeyActual&lt;&gt;""),O59+(KeyActual-KeyA),IF(Scenario="B",IF(Q59="",O59,Q59),O59)))</f>
        <v/>
      </c>
      <c r="K59" s="111">
        <f>IF(OR($A59="",P59=""),"",IF(AND(N59="K",KeyActual&lt;&gt;""),P59+(KeyActual-KeyA),IF(Scenario="B",IF(R59="",P59,R59),P59)))</f>
        <v/>
      </c>
      <c r="L59" s="112">
        <f>IF(OR($A59="",K59=""),"",IF(OR(F59="הושלם",F59="בוטל"),"",K59-Today_))</f>
        <v/>
      </c>
      <c r="M59" s="105" t="inlineStr">
        <is>
          <t>T-113</t>
        </is>
      </c>
      <c r="N59" s="108" t="inlineStr">
        <is>
          <t>K</t>
        </is>
      </c>
      <c r="O59" s="113" t="n">
        <v>46357</v>
      </c>
      <c r="P59" s="113" t="n">
        <v>46364</v>
      </c>
      <c r="Q59" s="113" t="n">
        <v>46392</v>
      </c>
      <c r="R59" s="113" t="n">
        <v>46399</v>
      </c>
      <c r="S59" s="105" t="inlineStr">
        <is>
          <t>שעות עבודה, ימים שקטים, עדכון שכנים (הורביץ)</t>
        </is>
      </c>
      <c r="T59" s="105" t="n"/>
      <c r="U59" s="105" t="inlineStr">
        <is>
          <t>תקנות רעש — לאמת</t>
        </is>
      </c>
      <c r="V59" s="114">
        <f>IF(AND($A59&lt;&gt;"",F59&lt;&gt;"הושלם",F59&lt;&gt;"בוטל",J59&lt;&gt;""),IF(J59&lt;=Today_+14,IF(K59="",99999,K59)+ROW()/100000,""),"")</f>
        <v/>
      </c>
      <c r="W59" s="114">
        <f>IFERROR(IF($A59="","",CHOOSE(MATCH(G59,{"לא התחיל","בתהליך","ממתין","תקוע","באיחור","הושלם","בוטל"},0),1,2,3,3,4,5,6)*100000+IF(K59="",99999,K59)+ROW()/1000000),"")</f>
        <v/>
      </c>
      <c r="X59" s="114">
        <f>IF(AND($A59&lt;&gt;"",F59&lt;&gt;"הושלם",F59&lt;&gt;"בוטל",OR(ISNUMBER(SEARCH("אריאל",D59)),D59="כל המשפחה")),IF(K59="",99999,K59)+ROW()/100000,"")</f>
        <v/>
      </c>
      <c r="Y59" s="114">
        <f>IF(AND($A59&lt;&gt;"",F59&lt;&gt;"הושלם",F59&lt;&gt;"בוטל",OR(ISNUMBER(SEARCH("רינת",D59)),D59="כל המשפחה")),IF(K59="",99999,K59)+ROW()/100000,"")</f>
        <v/>
      </c>
      <c r="Z59" s="114">
        <f>IF(AND($A59&lt;&gt;"",F59&lt;&gt;"הושלם",F59&lt;&gt;"בוטל",OR(ISNUMBER(SEARCH("תמר",D59)))),IF(K59="",99999,K59)+ROW()/100000,"")</f>
        <v/>
      </c>
      <c r="AA59" s="114">
        <f>IF(AND($A59&lt;&gt;"",F59&lt;&gt;"הושלם",F59&lt;&gt;"בוטל",NOT(ISNUMBER(SEARCH("אריאל",D59))),NOT(ISNUMBER(SEARCH("רינת",D59))),NOT(ISNUMBER(SEARCH("תמר",D59))),D59&lt;&gt;"כל המשפחה"),IF(K59="",99999,K59)+ROW()/100000,"")</f>
        <v/>
      </c>
    </row>
    <row r="60">
      <c r="A60" s="104" t="inlineStr">
        <is>
          <t>T-115</t>
        </is>
      </c>
      <c r="B60" s="105" t="inlineStr">
        <is>
          <t>A: מגורים בזמן שיפוץ</t>
        </is>
      </c>
      <c r="C60" s="106" t="inlineStr">
        <is>
          <t>תשתיות ביום 1</t>
        </is>
      </c>
      <c r="D60" s="105" t="inlineStr">
        <is>
          <t>אריאל</t>
        </is>
      </c>
      <c r="E60" s="107" t="inlineStr">
        <is>
          <t>בינונית</t>
        </is>
      </c>
      <c r="F60" s="107" t="inlineStr">
        <is>
          <t>לא התחיל</t>
        </is>
      </c>
      <c r="G60" s="108">
        <f>IF($A60="","",IF(AND(F60&lt;&gt;"הושלם",F60&lt;&gt;"בוטל",K60&lt;&gt;"",K60&lt;Today_),"באיחור",IF(F60="","לא התחיל",F60)))</f>
        <v/>
      </c>
      <c r="H60" s="109" t="n"/>
      <c r="I60" s="110">
        <f>IF($A60="","",IF(H60&lt;&gt;"",H60,IF(F60="הושלם",1,IF(F60="בתהליך",0.5,IF(OR(F60="ממתין",F60="תקוע"),0.25,0)))))</f>
        <v/>
      </c>
      <c r="J60" s="111">
        <f>IF(OR($A60="",O60=""),"",IF(AND(N60="K",KeyActual&lt;&gt;""),O60+(KeyActual-KeyA),IF(Scenario="B",IF(Q60="",O60,Q60),O60)))</f>
        <v/>
      </c>
      <c r="K60" s="111">
        <f>IF(OR($A60="",P60=""),"",IF(AND(N60="K",KeyActual&lt;&gt;""),P60+(KeyActual-KeyA),IF(Scenario="B",IF(R60="",P60,R60),P60)))</f>
        <v/>
      </c>
      <c r="L60" s="112">
        <f>IF(OR($A60="",K60=""),"",IF(OR(F60="הושלם",F60="בוטל"),"",K60-Today_))</f>
        <v/>
      </c>
      <c r="M60" s="105" t="inlineStr">
        <is>
          <t>T-063,T-064,T-065,T-066</t>
        </is>
      </c>
      <c r="N60" s="108" t="inlineStr">
        <is>
          <t>K</t>
        </is>
      </c>
      <c r="O60" s="113" t="n">
        <v>46343</v>
      </c>
      <c r="P60" s="113" t="n">
        <v>46357</v>
      </c>
      <c r="Q60" s="113" t="n">
        <v>46378</v>
      </c>
      <c r="R60" s="113" t="n">
        <v>46392</v>
      </c>
      <c r="S60" s="105" t="inlineStr">
        <is>
          <t>חשמל, מים, גז, אינטרנט פעילים ביום הכניסה (T-063–T-066)</t>
        </is>
      </c>
      <c r="T60" s="105" t="n"/>
      <c r="U60" s="105" t="inlineStr">
        <is>
          <t>לתאם מראש</t>
        </is>
      </c>
      <c r="V60" s="114">
        <f>IF(AND($A60&lt;&gt;"",F60&lt;&gt;"הושלם",F60&lt;&gt;"בוטל",J60&lt;&gt;""),IF(J60&lt;=Today_+14,IF(K60="",99999,K60)+ROW()/100000,""),"")</f>
        <v/>
      </c>
      <c r="W60" s="114">
        <f>IFERROR(IF($A60="","",CHOOSE(MATCH(G60,{"לא התחיל","בתהליך","ממתין","תקוע","באיחור","הושלם","בוטל"},0),1,2,3,3,4,5,6)*100000+IF(K60="",99999,K60)+ROW()/1000000),"")</f>
        <v/>
      </c>
      <c r="X60" s="114">
        <f>IF(AND($A60&lt;&gt;"",F60&lt;&gt;"הושלם",F60&lt;&gt;"בוטל",OR(ISNUMBER(SEARCH("אריאל",D60)),D60="כל המשפחה")),IF(K60="",99999,K60)+ROW()/100000,"")</f>
        <v/>
      </c>
      <c r="Y60" s="114">
        <f>IF(AND($A60&lt;&gt;"",F60&lt;&gt;"הושלם",F60&lt;&gt;"בוטל",OR(ISNUMBER(SEARCH("רינת",D60)),D60="כל המשפחה")),IF(K60="",99999,K60)+ROW()/100000,"")</f>
        <v/>
      </c>
      <c r="Z60" s="114">
        <f>IF(AND($A60&lt;&gt;"",F60&lt;&gt;"הושלם",F60&lt;&gt;"בוטל",OR(ISNUMBER(SEARCH("תמר",D60)))),IF(K60="",99999,K60)+ROW()/100000,"")</f>
        <v/>
      </c>
      <c r="AA60" s="114">
        <f>IF(AND($A60&lt;&gt;"",F60&lt;&gt;"הושלם",F60&lt;&gt;"בוטל",NOT(ISNUMBER(SEARCH("אריאל",D60))),NOT(ISNUMBER(SEARCH("רינת",D60))),NOT(ISNUMBER(SEARCH("תמר",D60))),D60&lt;&gt;"כל המשפחה"),IF(K60="",99999,K60)+ROW()/100000,"")</f>
        <v/>
      </c>
    </row>
    <row r="61">
      <c r="A61" s="104" t="inlineStr">
        <is>
          <t>T-116</t>
        </is>
      </c>
      <c r="B61" s="105" t="inlineStr">
        <is>
          <t>A: מגורים בזמן שיפוץ</t>
        </is>
      </c>
      <c r="C61" s="106" t="inlineStr">
        <is>
          <t>מיזוג/חימום בעדיפות לחורף</t>
        </is>
      </c>
      <c r="D61" s="105" t="inlineStr">
        <is>
          <t>מתקין מיזוג</t>
        </is>
      </c>
      <c r="E61" s="107" t="inlineStr">
        <is>
          <t>בינונית</t>
        </is>
      </c>
      <c r="F61" s="107" t="inlineStr">
        <is>
          <t>לא התחיל</t>
        </is>
      </c>
      <c r="G61" s="108">
        <f>IF($A61="","",IF(AND(F61&lt;&gt;"הושלם",F61&lt;&gt;"בוטל",K61&lt;&gt;"",K61&lt;Today_),"באיחור",IF(F61="","לא התחיל",F61)))</f>
        <v/>
      </c>
      <c r="H61" s="109" t="n"/>
      <c r="I61" s="110">
        <f>IF($A61="","",IF(H61&lt;&gt;"",H61,IF(F61="הושלם",1,IF(F61="בתהליך",0.5,IF(OR(F61="ממתין",F61="תקוע"),0.25,0)))))</f>
        <v/>
      </c>
      <c r="J61" s="111">
        <f>IF(OR($A61="",O61=""),"",IF(AND(N61="K",KeyActual&lt;&gt;""),O61+(KeyActual-KeyA),IF(Scenario="B",IF(Q61="",O61,Q61),O61)))</f>
        <v/>
      </c>
      <c r="K61" s="111">
        <f>IF(OR($A61="",P61=""),"",IF(AND(N61="K",KeyActual&lt;&gt;""),P61+(KeyActual-KeyA),IF(Scenario="B",IF(R61="",P61,R61),P61)))</f>
        <v/>
      </c>
      <c r="L61" s="112">
        <f>IF(OR($A61="",K61=""),"",IF(OR(F61="הושלם",F61="בוטל"),"",K61-Today_))</f>
        <v/>
      </c>
      <c r="M61" s="105" t="inlineStr">
        <is>
          <t>T-042</t>
        </is>
      </c>
      <c r="N61" s="108" t="inlineStr">
        <is>
          <t>K</t>
        </is>
      </c>
      <c r="O61" s="113" t="n">
        <v>46357</v>
      </c>
      <c r="P61" s="113" t="n">
        <v>46371</v>
      </c>
      <c r="Q61" s="113" t="n">
        <v>46392</v>
      </c>
      <c r="R61" s="113" t="n">
        <v>46406</v>
      </c>
      <c r="S61" s="105" t="inlineStr">
        <is>
          <t>להתקין קודם בחדרי שינה/סלון; חלופה: מפזרי חום זמניים</t>
        </is>
      </c>
      <c r="T61" s="105" t="inlineStr">
        <is>
          <t>T-040/41</t>
        </is>
      </c>
      <c r="U61" s="105" t="inlineStr">
        <is>
          <t>משנה את T-043/44</t>
        </is>
      </c>
      <c r="V61" s="114">
        <f>IF(AND($A61&lt;&gt;"",F61&lt;&gt;"הושלם",F61&lt;&gt;"בוטל",J61&lt;&gt;""),IF(J61&lt;=Today_+14,IF(K61="",99999,K61)+ROW()/100000,""),"")</f>
        <v/>
      </c>
      <c r="W61" s="114">
        <f>IFERROR(IF($A61="","",CHOOSE(MATCH(G61,{"לא התחיל","בתהליך","ממתין","תקוע","באיחור","הושלם","בוטל"},0),1,2,3,3,4,5,6)*100000+IF(K61="",99999,K61)+ROW()/1000000),"")</f>
        <v/>
      </c>
      <c r="X61" s="114">
        <f>IF(AND($A61&lt;&gt;"",F61&lt;&gt;"הושלם",F61&lt;&gt;"בוטל",OR(ISNUMBER(SEARCH("אריאל",D61)),D61="כל המשפחה")),IF(K61="",99999,K61)+ROW()/100000,"")</f>
        <v/>
      </c>
      <c r="Y61" s="114">
        <f>IF(AND($A61&lt;&gt;"",F61&lt;&gt;"הושלם",F61&lt;&gt;"בוטל",OR(ISNUMBER(SEARCH("רינת",D61)),D61="כל המשפחה")),IF(K61="",99999,K61)+ROW()/100000,"")</f>
        <v/>
      </c>
      <c r="Z61" s="114">
        <f>IF(AND($A61&lt;&gt;"",F61&lt;&gt;"הושלם",F61&lt;&gt;"בוטל",OR(ISNUMBER(SEARCH("תמר",D61)))),IF(K61="",99999,K61)+ROW()/100000,"")</f>
        <v/>
      </c>
      <c r="AA61" s="114">
        <f>IF(AND($A61&lt;&gt;"",F61&lt;&gt;"הושלם",F61&lt;&gt;"בוטל",NOT(ISNUMBER(SEARCH("אריאל",D61))),NOT(ISNUMBER(SEARCH("רינת",D61))),NOT(ISNUMBER(SEARCH("תמר",D61))),D61&lt;&gt;"כל המשפחה"),IF(K61="",99999,K61)+ROW()/100000,"")</f>
        <v/>
      </c>
    </row>
    <row r="62">
      <c r="A62" s="104" t="inlineStr">
        <is>
          <t>T-120</t>
        </is>
      </c>
      <c r="B62" s="105" t="inlineStr">
        <is>
          <t>B: מגורי ביניים</t>
        </is>
      </c>
      <c r="C62" s="106" t="inlineStr">
        <is>
          <t>איתור מגורי ביניים ~חודש</t>
        </is>
      </c>
      <c r="D62" s="105" t="inlineStr">
        <is>
          <t>אריאל+רינת</t>
        </is>
      </c>
      <c r="E62" s="107" t="inlineStr">
        <is>
          <t>בינונית</t>
        </is>
      </c>
      <c r="F62" s="107" t="inlineStr">
        <is>
          <t>לא התחיל</t>
        </is>
      </c>
      <c r="G62" s="108">
        <f>IF($A62="","",IF(AND(F62&lt;&gt;"הושלם",F62&lt;&gt;"בוטל",K62&lt;&gt;"",K62&lt;Today_),"באיחור",IF(F62="","לא התחיל",F62)))</f>
        <v/>
      </c>
      <c r="H62" s="109" t="n"/>
      <c r="I62" s="110">
        <f>IF($A62="","",IF(H62&lt;&gt;"",H62,IF(F62="הושלם",1,IF(F62="בתהליך",0.5,IF(OR(F62="ממתין",F62="תקוע"),0.25,0)))))</f>
        <v/>
      </c>
      <c r="J62" s="111">
        <f>IF(OR($A62="",O62=""),"",IF(AND(N62="K",KeyActual&lt;&gt;""),O62+(KeyActual-KeyA),IF(Scenario="B",IF(Q62="",O62,Q62),O62)))</f>
        <v/>
      </c>
      <c r="K62" s="111">
        <f>IF(OR($A62="",P62=""),"",IF(AND(N62="K",KeyActual&lt;&gt;""),P62+(KeyActual-KeyA),IF(Scenario="B",IF(R62="",P62,R62),P62)))</f>
        <v/>
      </c>
      <c r="L62" s="112">
        <f>IF(OR($A62="",K62=""),"",IF(OR(F62="הושלם",F62="בוטל"),"",K62-Today_))</f>
        <v/>
      </c>
      <c r="M62" s="105" t="inlineStr">
        <is>
          <t>T-060</t>
        </is>
      </c>
      <c r="N62" s="108" t="inlineStr">
        <is>
          <t>F</t>
        </is>
      </c>
      <c r="O62" s="113" t="n">
        <v>46308</v>
      </c>
      <c r="P62" s="113" t="n">
        <v>46336</v>
      </c>
      <c r="Q62" s="113" t="n">
        <v>46308</v>
      </c>
      <c r="R62" s="113" t="n">
        <v>46336</v>
      </c>
      <c r="S62" s="105" t="inlineStr">
        <is>
          <t>אפשרויות: משפחה, השכרה לטווח קצר, הארכה עם בעל הדירה</t>
        </is>
      </c>
      <c r="T62" s="105" t="inlineStr">
        <is>
          <t>תאריך פינוי, תאריך מפתח צפוי</t>
        </is>
      </c>
      <c r="U62" s="105" t="inlineStr">
        <is>
          <t>חלופה אם המפתח בינואר</t>
        </is>
      </c>
      <c r="V62" s="114">
        <f>IF(AND($A62&lt;&gt;"",F62&lt;&gt;"הושלם",F62&lt;&gt;"בוטל",J62&lt;&gt;""),IF(J62&lt;=Today_+14,IF(K62="",99999,K62)+ROW()/100000,""),"")</f>
        <v/>
      </c>
      <c r="W62" s="114">
        <f>IFERROR(IF($A62="","",CHOOSE(MATCH(G62,{"לא התחיל","בתהליך","ממתין","תקוע","באיחור","הושלם","בוטל"},0),1,2,3,3,4,5,6)*100000+IF(K62="",99999,K62)+ROW()/1000000),"")</f>
        <v/>
      </c>
      <c r="X62" s="114">
        <f>IF(AND($A62&lt;&gt;"",F62&lt;&gt;"הושלם",F62&lt;&gt;"בוטל",OR(ISNUMBER(SEARCH("אריאל",D62)),D62="כל המשפחה")),IF(K62="",99999,K62)+ROW()/100000,"")</f>
        <v/>
      </c>
      <c r="Y62" s="114">
        <f>IF(AND($A62&lt;&gt;"",F62&lt;&gt;"הושלם",F62&lt;&gt;"בוטל",OR(ISNUMBER(SEARCH("רינת",D62)),D62="כל המשפחה")),IF(K62="",99999,K62)+ROW()/100000,"")</f>
        <v/>
      </c>
      <c r="Z62" s="114">
        <f>IF(AND($A62&lt;&gt;"",F62&lt;&gt;"הושלם",F62&lt;&gt;"בוטל",OR(ISNUMBER(SEARCH("תמר",D62)))),IF(K62="",99999,K62)+ROW()/100000,"")</f>
        <v/>
      </c>
      <c r="AA62" s="114">
        <f>IF(AND($A62&lt;&gt;"",F62&lt;&gt;"הושלם",F62&lt;&gt;"בוטל",NOT(ISNUMBER(SEARCH("אריאל",D62))),NOT(ISNUMBER(SEARCH("רינת",D62))),NOT(ISNUMBER(SEARCH("תמר",D62))),D62&lt;&gt;"כל המשפחה"),IF(K62="",99999,K62)+ROW()/100000,"")</f>
        <v/>
      </c>
    </row>
    <row r="63">
      <c r="A63" s="104" t="inlineStr">
        <is>
          <t>T-121</t>
        </is>
      </c>
      <c r="B63" s="105" t="inlineStr">
        <is>
          <t>B: מגורי ביניים</t>
        </is>
      </c>
      <c r="C63" s="106" t="inlineStr">
        <is>
          <t>אחסון רהיטים ותכולה</t>
        </is>
      </c>
      <c r="D63" s="105" t="inlineStr">
        <is>
          <t>רינת</t>
        </is>
      </c>
      <c r="E63" s="107" t="inlineStr">
        <is>
          <t>בינונית</t>
        </is>
      </c>
      <c r="F63" s="107" t="inlineStr">
        <is>
          <t>לא התחיל</t>
        </is>
      </c>
      <c r="G63" s="108">
        <f>IF($A63="","",IF(AND(F63&lt;&gt;"הושלם",F63&lt;&gt;"בוטל",K63&lt;&gt;"",K63&lt;Today_),"באיחור",IF(F63="","לא התחיל",F63)))</f>
        <v/>
      </c>
      <c r="H63" s="109" t="n"/>
      <c r="I63" s="110">
        <f>IF($A63="","",IF(H63&lt;&gt;"",H63,IF(F63="הושלם",1,IF(F63="בתהליך",0.5,IF(OR(F63="ממתין",F63="תקוע"),0.25,0)))))</f>
        <v/>
      </c>
      <c r="J63" s="111">
        <f>IF(OR($A63="",O63=""),"",IF(AND(N63="K",KeyActual&lt;&gt;""),O63+(KeyActual-KeyA),IF(Scenario="B",IF(Q63="",O63,Q63),O63)))</f>
        <v/>
      </c>
      <c r="K63" s="111">
        <f>IF(OR($A63="",P63=""),"",IF(AND(N63="K",KeyActual&lt;&gt;""),P63+(KeyActual-KeyA),IF(Scenario="B",IF(R63="",P63,R63),P63)))</f>
        <v/>
      </c>
      <c r="L63" s="112">
        <f>IF(OR($A63="",K63=""),"",IF(OR(F63="הושלם",F63="בוטל"),"",K63-Today_))</f>
        <v/>
      </c>
      <c r="M63" s="105" t="inlineStr">
        <is>
          <t>T-120</t>
        </is>
      </c>
      <c r="N63" s="108" t="inlineStr">
        <is>
          <t>F</t>
        </is>
      </c>
      <c r="O63" s="113" t="n">
        <v>46320</v>
      </c>
      <c r="P63" s="113" t="n">
        <v>46341</v>
      </c>
      <c r="Q63" s="113" t="n">
        <v>46320</v>
      </c>
      <c r="R63" s="113" t="n">
        <v>46341</v>
      </c>
      <c r="S63" s="105" t="inlineStr">
        <is>
          <t>מחסן להשכרה/מכולה לחודש-חודשיים</t>
        </is>
      </c>
      <c r="T63" s="105" t="inlineStr">
        <is>
          <t>נפח תכולה מהמובילים</t>
        </is>
      </c>
      <c r="U63" s="105" t="inlineStr">
        <is>
          <t>הצעות באישור</t>
        </is>
      </c>
      <c r="V63" s="114">
        <f>IF(AND($A63&lt;&gt;"",F63&lt;&gt;"הושלם",F63&lt;&gt;"בוטל",J63&lt;&gt;""),IF(J63&lt;=Today_+14,IF(K63="",99999,K63)+ROW()/100000,""),"")</f>
        <v/>
      </c>
      <c r="W63" s="114">
        <f>IFERROR(IF($A63="","",CHOOSE(MATCH(G63,{"לא התחיל","בתהליך","ממתין","תקוע","באיחור","הושלם","בוטל"},0),1,2,3,3,4,5,6)*100000+IF(K63="",99999,K63)+ROW()/1000000),"")</f>
        <v/>
      </c>
      <c r="X63" s="114">
        <f>IF(AND($A63&lt;&gt;"",F63&lt;&gt;"הושלם",F63&lt;&gt;"בוטל",OR(ISNUMBER(SEARCH("אריאל",D63)),D63="כל המשפחה")),IF(K63="",99999,K63)+ROW()/100000,"")</f>
        <v/>
      </c>
      <c r="Y63" s="114">
        <f>IF(AND($A63&lt;&gt;"",F63&lt;&gt;"הושלם",F63&lt;&gt;"בוטל",OR(ISNUMBER(SEARCH("רינת",D63)),D63="כל המשפחה")),IF(K63="",99999,K63)+ROW()/100000,"")</f>
        <v/>
      </c>
      <c r="Z63" s="114">
        <f>IF(AND($A63&lt;&gt;"",F63&lt;&gt;"הושלם",F63&lt;&gt;"בוטל",OR(ISNUMBER(SEARCH("תמר",D63)))),IF(K63="",99999,K63)+ROW()/100000,"")</f>
        <v/>
      </c>
      <c r="AA63" s="114">
        <f>IF(AND($A63&lt;&gt;"",F63&lt;&gt;"הושלם",F63&lt;&gt;"בוטל",NOT(ISNUMBER(SEARCH("אריאל",D63))),NOT(ISNUMBER(SEARCH("רינת",D63))),NOT(ISNUMBER(SEARCH("תמר",D63))),D63&lt;&gt;"כל המשפחה"),IF(K63="",99999,K63)+ROW()/100000,"")</f>
        <v/>
      </c>
    </row>
    <row r="64">
      <c r="A64" s="104" t="inlineStr">
        <is>
          <t>T-122</t>
        </is>
      </c>
      <c r="B64" s="105" t="inlineStr">
        <is>
          <t>B: מגורי ביניים</t>
        </is>
      </c>
      <c r="C64" s="106" t="inlineStr">
        <is>
          <t>עלויות מעבר כפול לתקציב</t>
        </is>
      </c>
      <c r="D64" s="105" t="inlineStr">
        <is>
          <t>אריאל</t>
        </is>
      </c>
      <c r="E64" s="107" t="inlineStr">
        <is>
          <t>בינונית</t>
        </is>
      </c>
      <c r="F64" s="107" t="inlineStr">
        <is>
          <t>לא התחיל</t>
        </is>
      </c>
      <c r="G64" s="108">
        <f>IF($A64="","",IF(AND(F64&lt;&gt;"הושלם",F64&lt;&gt;"בוטל",K64&lt;&gt;"",K64&lt;Today_),"באיחור",IF(F64="","לא התחיל",F64)))</f>
        <v/>
      </c>
      <c r="H64" s="109" t="n"/>
      <c r="I64" s="110">
        <f>IF($A64="","",IF(H64&lt;&gt;"",H64,IF(F64="הושלם",1,IF(F64="בתהליך",0.5,IF(OR(F64="ממתין",F64="תקוע"),0.25,0)))))</f>
        <v/>
      </c>
      <c r="J64" s="111">
        <f>IF(OR($A64="",O64=""),"",IF(AND(N64="K",KeyActual&lt;&gt;""),O64+(KeyActual-KeyA),IF(Scenario="B",IF(Q64="",O64,Q64),O64)))</f>
        <v/>
      </c>
      <c r="K64" s="111">
        <f>IF(OR($A64="",P64=""),"",IF(AND(N64="K",KeyActual&lt;&gt;""),P64+(KeyActual-KeyA),IF(Scenario="B",IF(R64="",P64,R64),P64)))</f>
        <v/>
      </c>
      <c r="L64" s="112">
        <f>IF(OR($A64="",K64=""),"",IF(OR(F64="הושלם",F64="בוטל"),"",K64-Today_))</f>
        <v/>
      </c>
      <c r="M64" s="105" t="inlineStr">
        <is>
          <t>T-061,T-121</t>
        </is>
      </c>
      <c r="N64" s="108" t="inlineStr">
        <is>
          <t>F</t>
        </is>
      </c>
      <c r="O64" s="113" t="n">
        <v>46327</v>
      </c>
      <c r="P64" s="113" t="n">
        <v>46336</v>
      </c>
      <c r="Q64" s="113" t="n">
        <v>46327</v>
      </c>
      <c r="R64" s="113" t="n">
        <v>46336</v>
      </c>
      <c r="S64" s="105" t="inlineStr">
        <is>
          <t>הובלה×2, אחסון, שכירות ביניים — להוסיף ל-Budget Tracker</t>
        </is>
      </c>
      <c r="T64" s="105" t="inlineStr">
        <is>
          <t>הצעות</t>
        </is>
      </c>
      <c r="U64" s="105" t="inlineStr">
        <is>
          <t>לא ידוע — עד הצעות</t>
        </is>
      </c>
      <c r="V64" s="114">
        <f>IF(AND($A64&lt;&gt;"",F64&lt;&gt;"הושלם",F64&lt;&gt;"בוטל",J64&lt;&gt;""),IF(J64&lt;=Today_+14,IF(K64="",99999,K64)+ROW()/100000,""),"")</f>
        <v/>
      </c>
      <c r="W64" s="114">
        <f>IFERROR(IF($A64="","",CHOOSE(MATCH(G64,{"לא התחיל","בתהליך","ממתין","תקוע","באיחור","הושלם","בוטל"},0),1,2,3,3,4,5,6)*100000+IF(K64="",99999,K64)+ROW()/1000000),"")</f>
        <v/>
      </c>
      <c r="X64" s="114">
        <f>IF(AND($A64&lt;&gt;"",F64&lt;&gt;"הושלם",F64&lt;&gt;"בוטל",OR(ISNUMBER(SEARCH("אריאל",D64)),D64="כל המשפחה")),IF(K64="",99999,K64)+ROW()/100000,"")</f>
        <v/>
      </c>
      <c r="Y64" s="114">
        <f>IF(AND($A64&lt;&gt;"",F64&lt;&gt;"הושלם",F64&lt;&gt;"בוטל",OR(ISNUMBER(SEARCH("רינת",D64)),D64="כל המשפחה")),IF(K64="",99999,K64)+ROW()/100000,"")</f>
        <v/>
      </c>
      <c r="Z64" s="114">
        <f>IF(AND($A64&lt;&gt;"",F64&lt;&gt;"הושלם",F64&lt;&gt;"בוטל",OR(ISNUMBER(SEARCH("תמר",D64)))),IF(K64="",99999,K64)+ROW()/100000,"")</f>
        <v/>
      </c>
      <c r="AA64" s="114">
        <f>IF(AND($A64&lt;&gt;"",F64&lt;&gt;"הושלם",F64&lt;&gt;"בוטל",NOT(ISNUMBER(SEARCH("אריאל",D64))),NOT(ISNUMBER(SEARCH("רינת",D64))),NOT(ISNUMBER(SEARCH("תמר",D64))),D64&lt;&gt;"כל המשפחה"),IF(K64="",99999,K64)+ROW()/100000,"")</f>
        <v/>
      </c>
    </row>
    <row r="65">
      <c r="A65" s="104" t="inlineStr">
        <is>
          <t>T-123</t>
        </is>
      </c>
      <c r="B65" s="105" t="inlineStr">
        <is>
          <t>B: מגורי ביניים</t>
        </is>
      </c>
      <c r="C65" s="106" t="inlineStr">
        <is>
          <t>מעבר מביניים לבית</t>
        </is>
      </c>
      <c r="D65" s="105" t="inlineStr">
        <is>
          <t>מובילים</t>
        </is>
      </c>
      <c r="E65" s="107" t="inlineStr">
        <is>
          <t>בינונית</t>
        </is>
      </c>
      <c r="F65" s="107" t="inlineStr">
        <is>
          <t>לא התחיל</t>
        </is>
      </c>
      <c r="G65" s="108">
        <f>IF($A65="","",IF(AND(F65&lt;&gt;"הושלם",F65&lt;&gt;"בוטל",K65&lt;&gt;"",K65&lt;Today_),"באיחור",IF(F65="","לא התחיל",F65)))</f>
        <v/>
      </c>
      <c r="H65" s="109" t="n"/>
      <c r="I65" s="110">
        <f>IF($A65="","",IF(H65&lt;&gt;"",H65,IF(F65="הושלם",1,IF(F65="בתהליך",0.5,IF(OR(F65="ממתין",F65="תקוע"),0.25,0)))))</f>
        <v/>
      </c>
      <c r="J65" s="111">
        <f>IF(OR($A65="",O65=""),"",IF(AND(N65="K",KeyActual&lt;&gt;""),O65+(KeyActual-KeyA),IF(Scenario="B",IF(Q65="",O65,Q65),O65)))</f>
        <v/>
      </c>
      <c r="K65" s="111">
        <f>IF(OR($A65="",P65=""),"",IF(AND(N65="K",KeyActual&lt;&gt;""),P65+(KeyActual-KeyA),IF(Scenario="B",IF(R65="",P65,R65),P65)))</f>
        <v/>
      </c>
      <c r="L65" s="112">
        <f>IF(OR($A65="",K65=""),"",IF(OR(F65="הושלם",F65="בוטל"),"",K65-Today_))</f>
        <v/>
      </c>
      <c r="M65" s="105" t="inlineStr">
        <is>
          <t>T-121</t>
        </is>
      </c>
      <c r="N65" s="108" t="inlineStr">
        <is>
          <t>K</t>
        </is>
      </c>
      <c r="O65" s="113" t="n">
        <v>46360</v>
      </c>
      <c r="P65" s="113" t="n">
        <v>46367</v>
      </c>
      <c r="Q65" s="113" t="n">
        <v>46395</v>
      </c>
      <c r="R65" s="113" t="n">
        <v>46402</v>
      </c>
      <c r="S65" s="105" t="inlineStr">
        <is>
          <t>אחרי מפתח; תשתיות יום 1 כמו T-115</t>
        </is>
      </c>
      <c r="T65" s="105" t="n"/>
      <c r="U65" s="105" t="inlineStr">
        <is>
          <t>רק בתרחיש B</t>
        </is>
      </c>
      <c r="V65" s="114">
        <f>IF(AND($A65&lt;&gt;"",F65&lt;&gt;"הושלם",F65&lt;&gt;"בוטל",J65&lt;&gt;""),IF(J65&lt;=Today_+14,IF(K65="",99999,K65)+ROW()/100000,""),"")</f>
        <v/>
      </c>
      <c r="W65" s="114">
        <f>IFERROR(IF($A65="","",CHOOSE(MATCH(G65,{"לא התחיל","בתהליך","ממתין","תקוע","באיחור","הושלם","בוטל"},0),1,2,3,3,4,5,6)*100000+IF(K65="",99999,K65)+ROW()/1000000),"")</f>
        <v/>
      </c>
      <c r="X65" s="114">
        <f>IF(AND($A65&lt;&gt;"",F65&lt;&gt;"הושלם",F65&lt;&gt;"בוטל",OR(ISNUMBER(SEARCH("אריאל",D65)),D65="כל המשפחה")),IF(K65="",99999,K65)+ROW()/100000,"")</f>
        <v/>
      </c>
      <c r="Y65" s="114">
        <f>IF(AND($A65&lt;&gt;"",F65&lt;&gt;"הושלם",F65&lt;&gt;"בוטל",OR(ISNUMBER(SEARCH("רינת",D65)),D65="כל המשפחה")),IF(K65="",99999,K65)+ROW()/100000,"")</f>
        <v/>
      </c>
      <c r="Z65" s="114">
        <f>IF(AND($A65&lt;&gt;"",F65&lt;&gt;"הושלם",F65&lt;&gt;"בוטל",OR(ISNUMBER(SEARCH("תמר",D65)))),IF(K65="",99999,K65)+ROW()/100000,"")</f>
        <v/>
      </c>
      <c r="AA65" s="114">
        <f>IF(AND($A65&lt;&gt;"",F65&lt;&gt;"הושלם",F65&lt;&gt;"בוטל",NOT(ISNUMBER(SEARCH("אריאל",D65))),NOT(ISNUMBER(SEARCH("רינת",D65))),NOT(ISNUMBER(SEARCH("תמר",D65))),D65&lt;&gt;"כל המשפחה"),IF(K65="",99999,K65)+ROW()/100000,"")</f>
        <v/>
      </c>
    </row>
    <row r="66">
      <c r="A66" s="104" t="n"/>
      <c r="B66" s="105" t="n"/>
      <c r="C66" s="106" t="n"/>
      <c r="D66" s="105" t="n"/>
      <c r="E66" s="107" t="n"/>
      <c r="F66" s="107" t="n"/>
      <c r="G66" s="108">
        <f>IF($A66="","",IF(AND(F66&lt;&gt;"הושלם",F66&lt;&gt;"בוטל",K66&lt;&gt;"",K66&lt;Today_),"באיחור",IF(F66="","לא התחיל",F66)))</f>
        <v/>
      </c>
      <c r="H66" s="109" t="n"/>
      <c r="I66" s="110">
        <f>IF($A66="","",IF(H66&lt;&gt;"",H66,IF(F66="הושלם",1,IF(F66="בתהליך",0.5,IF(OR(F66="ממתין",F66="תקוע"),0.25,0)))))</f>
        <v/>
      </c>
      <c r="J66" s="111">
        <f>IF(OR($A66="",O66=""),"",IF(AND(N66="K",KeyActual&lt;&gt;""),O66+(KeyActual-KeyA),IF(Scenario="B",IF(Q66="",O66,Q66),O66)))</f>
        <v/>
      </c>
      <c r="K66" s="111">
        <f>IF(OR($A66="",P66=""),"",IF(AND(N66="K",KeyActual&lt;&gt;""),P66+(KeyActual-KeyA),IF(Scenario="B",IF(R66="",P66,R66),P66)))</f>
        <v/>
      </c>
      <c r="L66" s="112">
        <f>IF(OR($A66="",K66=""),"",IF(OR(F66="הושלם",F66="בוטל"),"",K66-Today_))</f>
        <v/>
      </c>
      <c r="M66" s="105" t="n"/>
      <c r="N66" s="108" t="n"/>
      <c r="O66" s="113" t="n"/>
      <c r="P66" s="113" t="n"/>
      <c r="Q66" s="113" t="n"/>
      <c r="R66" s="113" t="n"/>
      <c r="S66" s="105" t="n"/>
      <c r="T66" s="105" t="n"/>
      <c r="U66" s="105" t="n"/>
      <c r="V66" s="114">
        <f>IF(AND($A66&lt;&gt;"",F66&lt;&gt;"הושלם",F66&lt;&gt;"בוטל",J66&lt;&gt;""),IF(J66&lt;=Today_+14,IF(K66="",99999,K66)+ROW()/100000,""),"")</f>
        <v/>
      </c>
      <c r="W66" s="114">
        <f>IFERROR(IF($A66="","",CHOOSE(MATCH(G66,{"לא התחיל","בתהליך","ממתין","תקוע","באיחור","הושלם","בוטל"},0),1,2,3,3,4,5,6)*100000+IF(K66="",99999,K66)+ROW()/1000000),"")</f>
        <v/>
      </c>
      <c r="X66" s="114">
        <f>IF(AND($A66&lt;&gt;"",F66&lt;&gt;"הושלם",F66&lt;&gt;"בוטל",OR(ISNUMBER(SEARCH("אריאל",D66)),D66="כל המשפחה")),IF(K66="",99999,K66)+ROW()/100000,"")</f>
        <v/>
      </c>
      <c r="Y66" s="114">
        <f>IF(AND($A66&lt;&gt;"",F66&lt;&gt;"הושלם",F66&lt;&gt;"בוטל",OR(ISNUMBER(SEARCH("רינת",D66)),D66="כל המשפחה")),IF(K66="",99999,K66)+ROW()/100000,"")</f>
        <v/>
      </c>
      <c r="Z66" s="114">
        <f>IF(AND($A66&lt;&gt;"",F66&lt;&gt;"הושלם",F66&lt;&gt;"בוטל",OR(ISNUMBER(SEARCH("תמר",D66)))),IF(K66="",99999,K66)+ROW()/100000,"")</f>
        <v/>
      </c>
      <c r="AA66" s="114">
        <f>IF(AND($A66&lt;&gt;"",F66&lt;&gt;"הושלם",F66&lt;&gt;"בוטל",NOT(ISNUMBER(SEARCH("אריאל",D66))),NOT(ISNUMBER(SEARCH("רינת",D66))),NOT(ISNUMBER(SEARCH("תמר",D66))),D66&lt;&gt;"כל המשפחה"),IF(K66="",99999,K66)+ROW()/100000,"")</f>
        <v/>
      </c>
    </row>
    <row r="67">
      <c r="A67" s="104" t="n"/>
      <c r="B67" s="105" t="n"/>
      <c r="C67" s="106" t="n"/>
      <c r="D67" s="105" t="n"/>
      <c r="E67" s="107" t="n"/>
      <c r="F67" s="107" t="n"/>
      <c r="G67" s="108">
        <f>IF($A67="","",IF(AND(F67&lt;&gt;"הושלם",F67&lt;&gt;"בוטל",K67&lt;&gt;"",K67&lt;Today_),"באיחור",IF(F67="","לא התחיל",F67)))</f>
        <v/>
      </c>
      <c r="H67" s="109" t="n"/>
      <c r="I67" s="110">
        <f>IF($A67="","",IF(H67&lt;&gt;"",H67,IF(F67="הושלם",1,IF(F67="בתהליך",0.5,IF(OR(F67="ממתין",F67="תקוע"),0.25,0)))))</f>
        <v/>
      </c>
      <c r="J67" s="111">
        <f>IF(OR($A67="",O67=""),"",IF(AND(N67="K",KeyActual&lt;&gt;""),O67+(KeyActual-KeyA),IF(Scenario="B",IF(Q67="",O67,Q67),O67)))</f>
        <v/>
      </c>
      <c r="K67" s="111">
        <f>IF(OR($A67="",P67=""),"",IF(AND(N67="K",KeyActual&lt;&gt;""),P67+(KeyActual-KeyA),IF(Scenario="B",IF(R67="",P67,R67),P67)))</f>
        <v/>
      </c>
      <c r="L67" s="112">
        <f>IF(OR($A67="",K67=""),"",IF(OR(F67="הושלם",F67="בוטל"),"",K67-Today_))</f>
        <v/>
      </c>
      <c r="M67" s="105" t="n"/>
      <c r="N67" s="108" t="n"/>
      <c r="O67" s="113" t="n"/>
      <c r="P67" s="113" t="n"/>
      <c r="Q67" s="113" t="n"/>
      <c r="R67" s="113" t="n"/>
      <c r="S67" s="105" t="n"/>
      <c r="T67" s="105" t="n"/>
      <c r="U67" s="105" t="n"/>
      <c r="V67" s="114">
        <f>IF(AND($A67&lt;&gt;"",F67&lt;&gt;"הושלם",F67&lt;&gt;"בוטל",J67&lt;&gt;""),IF(J67&lt;=Today_+14,IF(K67="",99999,K67)+ROW()/100000,""),"")</f>
        <v/>
      </c>
      <c r="W67" s="114">
        <f>IFERROR(IF($A67="","",CHOOSE(MATCH(G67,{"לא התחיל","בתהליך","ממתין","תקוע","באיחור","הושלם","בוטל"},0),1,2,3,3,4,5,6)*100000+IF(K67="",99999,K67)+ROW()/1000000),"")</f>
        <v/>
      </c>
      <c r="X67" s="114">
        <f>IF(AND($A67&lt;&gt;"",F67&lt;&gt;"הושלם",F67&lt;&gt;"בוטל",OR(ISNUMBER(SEARCH("אריאל",D67)),D67="כל המשפחה")),IF(K67="",99999,K67)+ROW()/100000,"")</f>
        <v/>
      </c>
      <c r="Y67" s="114">
        <f>IF(AND($A67&lt;&gt;"",F67&lt;&gt;"הושלם",F67&lt;&gt;"בוטל",OR(ISNUMBER(SEARCH("רינת",D67)),D67="כל המשפחה")),IF(K67="",99999,K67)+ROW()/100000,"")</f>
        <v/>
      </c>
      <c r="Z67" s="114">
        <f>IF(AND($A67&lt;&gt;"",F67&lt;&gt;"הושלם",F67&lt;&gt;"בוטל",OR(ISNUMBER(SEARCH("תמר",D67)))),IF(K67="",99999,K67)+ROW()/100000,"")</f>
        <v/>
      </c>
      <c r="AA67" s="114">
        <f>IF(AND($A67&lt;&gt;"",F67&lt;&gt;"הושלם",F67&lt;&gt;"בוטל",NOT(ISNUMBER(SEARCH("אריאל",D67))),NOT(ISNUMBER(SEARCH("רינת",D67))),NOT(ISNUMBER(SEARCH("תמר",D67))),D67&lt;&gt;"כל המשפחה"),IF(K67="",99999,K67)+ROW()/100000,"")</f>
        <v/>
      </c>
    </row>
    <row r="68">
      <c r="A68" s="104" t="n"/>
      <c r="B68" s="105" t="n"/>
      <c r="C68" s="106" t="n"/>
      <c r="D68" s="105" t="n"/>
      <c r="E68" s="107" t="n"/>
      <c r="F68" s="107" t="n"/>
      <c r="G68" s="108">
        <f>IF($A68="","",IF(AND(F68&lt;&gt;"הושלם",F68&lt;&gt;"בוטל",K68&lt;&gt;"",K68&lt;Today_),"באיחור",IF(F68="","לא התחיל",F68)))</f>
        <v/>
      </c>
      <c r="H68" s="109" t="n"/>
      <c r="I68" s="110">
        <f>IF($A68="","",IF(H68&lt;&gt;"",H68,IF(F68="הושלם",1,IF(F68="בתהליך",0.5,IF(OR(F68="ממתין",F68="תקוע"),0.25,0)))))</f>
        <v/>
      </c>
      <c r="J68" s="111">
        <f>IF(OR($A68="",O68=""),"",IF(AND(N68="K",KeyActual&lt;&gt;""),O68+(KeyActual-KeyA),IF(Scenario="B",IF(Q68="",O68,Q68),O68)))</f>
        <v/>
      </c>
      <c r="K68" s="111">
        <f>IF(OR($A68="",P68=""),"",IF(AND(N68="K",KeyActual&lt;&gt;""),P68+(KeyActual-KeyA),IF(Scenario="B",IF(R68="",P68,R68),P68)))</f>
        <v/>
      </c>
      <c r="L68" s="112">
        <f>IF(OR($A68="",K68=""),"",IF(OR(F68="הושלם",F68="בוטל"),"",K68-Today_))</f>
        <v/>
      </c>
      <c r="M68" s="105" t="n"/>
      <c r="N68" s="108" t="n"/>
      <c r="O68" s="113" t="n"/>
      <c r="P68" s="113" t="n"/>
      <c r="Q68" s="113" t="n"/>
      <c r="R68" s="113" t="n"/>
      <c r="S68" s="105" t="n"/>
      <c r="T68" s="105" t="n"/>
      <c r="U68" s="105" t="n"/>
      <c r="V68" s="114">
        <f>IF(AND($A68&lt;&gt;"",F68&lt;&gt;"הושלם",F68&lt;&gt;"בוטל",J68&lt;&gt;""),IF(J68&lt;=Today_+14,IF(K68="",99999,K68)+ROW()/100000,""),"")</f>
        <v/>
      </c>
      <c r="W68" s="114">
        <f>IFERROR(IF($A68="","",CHOOSE(MATCH(G68,{"לא התחיל","בתהליך","ממתין","תקוע","באיחור","הושלם","בוטל"},0),1,2,3,3,4,5,6)*100000+IF(K68="",99999,K68)+ROW()/1000000),"")</f>
        <v/>
      </c>
      <c r="X68" s="114">
        <f>IF(AND($A68&lt;&gt;"",F68&lt;&gt;"הושלם",F68&lt;&gt;"בוטל",OR(ISNUMBER(SEARCH("אריאל",D68)),D68="כל המשפחה")),IF(K68="",99999,K68)+ROW()/100000,"")</f>
        <v/>
      </c>
      <c r="Y68" s="114">
        <f>IF(AND($A68&lt;&gt;"",F68&lt;&gt;"הושלם",F68&lt;&gt;"בוטל",OR(ISNUMBER(SEARCH("רינת",D68)),D68="כל המשפחה")),IF(K68="",99999,K68)+ROW()/100000,"")</f>
        <v/>
      </c>
      <c r="Z68" s="114">
        <f>IF(AND($A68&lt;&gt;"",F68&lt;&gt;"הושלם",F68&lt;&gt;"בוטל",OR(ISNUMBER(SEARCH("תמר",D68)))),IF(K68="",99999,K68)+ROW()/100000,"")</f>
        <v/>
      </c>
      <c r="AA68" s="114">
        <f>IF(AND($A68&lt;&gt;"",F68&lt;&gt;"הושלם",F68&lt;&gt;"בוטל",NOT(ISNUMBER(SEARCH("אריאל",D68))),NOT(ISNUMBER(SEARCH("רינת",D68))),NOT(ISNUMBER(SEARCH("תמר",D68))),D68&lt;&gt;"כל המשפחה"),IF(K68="",99999,K68)+ROW()/100000,"")</f>
        <v/>
      </c>
    </row>
    <row r="69">
      <c r="A69" s="104" t="n"/>
      <c r="B69" s="105" t="n"/>
      <c r="C69" s="106" t="n"/>
      <c r="D69" s="105" t="n"/>
      <c r="E69" s="107" t="n"/>
      <c r="F69" s="107" t="n"/>
      <c r="G69" s="108">
        <f>IF($A69="","",IF(AND(F69&lt;&gt;"הושלם",F69&lt;&gt;"בוטל",K69&lt;&gt;"",K69&lt;Today_),"באיחור",IF(F69="","לא התחיל",F69)))</f>
        <v/>
      </c>
      <c r="H69" s="109" t="n"/>
      <c r="I69" s="110">
        <f>IF($A69="","",IF(H69&lt;&gt;"",H69,IF(F69="הושלם",1,IF(F69="בתהליך",0.5,IF(OR(F69="ממתין",F69="תקוע"),0.25,0)))))</f>
        <v/>
      </c>
      <c r="J69" s="111">
        <f>IF(OR($A69="",O69=""),"",IF(AND(N69="K",KeyActual&lt;&gt;""),O69+(KeyActual-KeyA),IF(Scenario="B",IF(Q69="",O69,Q69),O69)))</f>
        <v/>
      </c>
      <c r="K69" s="111">
        <f>IF(OR($A69="",P69=""),"",IF(AND(N69="K",KeyActual&lt;&gt;""),P69+(KeyActual-KeyA),IF(Scenario="B",IF(R69="",P69,R69),P69)))</f>
        <v/>
      </c>
      <c r="L69" s="112">
        <f>IF(OR($A69="",K69=""),"",IF(OR(F69="הושלם",F69="בוטל"),"",K69-Today_))</f>
        <v/>
      </c>
      <c r="M69" s="105" t="n"/>
      <c r="N69" s="108" t="n"/>
      <c r="O69" s="113" t="n"/>
      <c r="P69" s="113" t="n"/>
      <c r="Q69" s="113" t="n"/>
      <c r="R69" s="113" t="n"/>
      <c r="S69" s="105" t="n"/>
      <c r="T69" s="105" t="n"/>
      <c r="U69" s="105" t="n"/>
      <c r="V69" s="114">
        <f>IF(AND($A69&lt;&gt;"",F69&lt;&gt;"הושלם",F69&lt;&gt;"בוטל",J69&lt;&gt;""),IF(J69&lt;=Today_+14,IF(K69="",99999,K69)+ROW()/100000,""),"")</f>
        <v/>
      </c>
      <c r="W69" s="114">
        <f>IFERROR(IF($A69="","",CHOOSE(MATCH(G69,{"לא התחיל","בתהליך","ממתין","תקוע","באיחור","הושלם","בוטל"},0),1,2,3,3,4,5,6)*100000+IF(K69="",99999,K69)+ROW()/1000000),"")</f>
        <v/>
      </c>
      <c r="X69" s="114">
        <f>IF(AND($A69&lt;&gt;"",F69&lt;&gt;"הושלם",F69&lt;&gt;"בוטל",OR(ISNUMBER(SEARCH("אריאל",D69)),D69="כל המשפחה")),IF(K69="",99999,K69)+ROW()/100000,"")</f>
        <v/>
      </c>
      <c r="Y69" s="114">
        <f>IF(AND($A69&lt;&gt;"",F69&lt;&gt;"הושלם",F69&lt;&gt;"בוטל",OR(ISNUMBER(SEARCH("רינת",D69)),D69="כל המשפחה")),IF(K69="",99999,K69)+ROW()/100000,"")</f>
        <v/>
      </c>
      <c r="Z69" s="114">
        <f>IF(AND($A69&lt;&gt;"",F69&lt;&gt;"הושלם",F69&lt;&gt;"בוטל",OR(ISNUMBER(SEARCH("תמר",D69)))),IF(K69="",99999,K69)+ROW()/100000,"")</f>
        <v/>
      </c>
      <c r="AA69" s="114">
        <f>IF(AND($A69&lt;&gt;"",F69&lt;&gt;"הושלם",F69&lt;&gt;"בוטל",NOT(ISNUMBER(SEARCH("אריאל",D69))),NOT(ISNUMBER(SEARCH("רינת",D69))),NOT(ISNUMBER(SEARCH("תמר",D69))),D69&lt;&gt;"כל המשפחה"),IF(K69="",99999,K69)+ROW()/100000,"")</f>
        <v/>
      </c>
    </row>
    <row r="70">
      <c r="A70" s="104" t="n"/>
      <c r="B70" s="105" t="n"/>
      <c r="C70" s="106" t="n"/>
      <c r="D70" s="105" t="n"/>
      <c r="E70" s="107" t="n"/>
      <c r="F70" s="107" t="n"/>
      <c r="G70" s="108">
        <f>IF($A70="","",IF(AND(F70&lt;&gt;"הושלם",F70&lt;&gt;"בוטל",K70&lt;&gt;"",K70&lt;Today_),"באיחור",IF(F70="","לא התחיל",F70)))</f>
        <v/>
      </c>
      <c r="H70" s="109" t="n"/>
      <c r="I70" s="110">
        <f>IF($A70="","",IF(H70&lt;&gt;"",H70,IF(F70="הושלם",1,IF(F70="בתהליך",0.5,IF(OR(F70="ממתין",F70="תקוע"),0.25,0)))))</f>
        <v/>
      </c>
      <c r="J70" s="111">
        <f>IF(OR($A70="",O70=""),"",IF(AND(N70="K",KeyActual&lt;&gt;""),O70+(KeyActual-KeyA),IF(Scenario="B",IF(Q70="",O70,Q70),O70)))</f>
        <v/>
      </c>
      <c r="K70" s="111">
        <f>IF(OR($A70="",P70=""),"",IF(AND(N70="K",KeyActual&lt;&gt;""),P70+(KeyActual-KeyA),IF(Scenario="B",IF(R70="",P70,R70),P70)))</f>
        <v/>
      </c>
      <c r="L70" s="112">
        <f>IF(OR($A70="",K70=""),"",IF(OR(F70="הושלם",F70="בוטל"),"",K70-Today_))</f>
        <v/>
      </c>
      <c r="M70" s="105" t="n"/>
      <c r="N70" s="108" t="n"/>
      <c r="O70" s="113" t="n"/>
      <c r="P70" s="113" t="n"/>
      <c r="Q70" s="113" t="n"/>
      <c r="R70" s="113" t="n"/>
      <c r="S70" s="105" t="n"/>
      <c r="T70" s="105" t="n"/>
      <c r="U70" s="105" t="n"/>
      <c r="V70" s="114">
        <f>IF(AND($A70&lt;&gt;"",F70&lt;&gt;"הושלם",F70&lt;&gt;"בוטל",J70&lt;&gt;""),IF(J70&lt;=Today_+14,IF(K70="",99999,K70)+ROW()/100000,""),"")</f>
        <v/>
      </c>
      <c r="W70" s="114">
        <f>IFERROR(IF($A70="","",CHOOSE(MATCH(G70,{"לא התחיל","בתהליך","ממתין","תקוע","באיחור","הושלם","בוטל"},0),1,2,3,3,4,5,6)*100000+IF(K70="",99999,K70)+ROW()/1000000),"")</f>
        <v/>
      </c>
      <c r="X70" s="114">
        <f>IF(AND($A70&lt;&gt;"",F70&lt;&gt;"הושלם",F70&lt;&gt;"בוטל",OR(ISNUMBER(SEARCH("אריאל",D70)),D70="כל המשפחה")),IF(K70="",99999,K70)+ROW()/100000,"")</f>
        <v/>
      </c>
      <c r="Y70" s="114">
        <f>IF(AND($A70&lt;&gt;"",F70&lt;&gt;"הושלם",F70&lt;&gt;"בוטל",OR(ISNUMBER(SEARCH("רינת",D70)),D70="כל המשפחה")),IF(K70="",99999,K70)+ROW()/100000,"")</f>
        <v/>
      </c>
      <c r="Z70" s="114">
        <f>IF(AND($A70&lt;&gt;"",F70&lt;&gt;"הושלם",F70&lt;&gt;"בוטל",OR(ISNUMBER(SEARCH("תמר",D70)))),IF(K70="",99999,K70)+ROW()/100000,"")</f>
        <v/>
      </c>
      <c r="AA70" s="114">
        <f>IF(AND($A70&lt;&gt;"",F70&lt;&gt;"הושלם",F70&lt;&gt;"בוטל",NOT(ISNUMBER(SEARCH("אריאל",D70))),NOT(ISNUMBER(SEARCH("רינת",D70))),NOT(ISNUMBER(SEARCH("תמר",D70))),D70&lt;&gt;"כל המשפחה"),IF(K70="",99999,K70)+ROW()/100000,"")</f>
        <v/>
      </c>
    </row>
    <row r="71">
      <c r="A71" s="104" t="n"/>
      <c r="B71" s="105" t="n"/>
      <c r="C71" s="106" t="n"/>
      <c r="D71" s="105" t="n"/>
      <c r="E71" s="107" t="n"/>
      <c r="F71" s="107" t="n"/>
      <c r="G71" s="108">
        <f>IF($A71="","",IF(AND(F71&lt;&gt;"הושלם",F71&lt;&gt;"בוטל",K71&lt;&gt;"",K71&lt;Today_),"באיחור",IF(F71="","לא התחיל",F71)))</f>
        <v/>
      </c>
      <c r="H71" s="109" t="n"/>
      <c r="I71" s="110">
        <f>IF($A71="","",IF(H71&lt;&gt;"",H71,IF(F71="הושלם",1,IF(F71="בתהליך",0.5,IF(OR(F71="ממתין",F71="תקוע"),0.25,0)))))</f>
        <v/>
      </c>
      <c r="J71" s="111">
        <f>IF(OR($A71="",O71=""),"",IF(AND(N71="K",KeyActual&lt;&gt;""),O71+(KeyActual-KeyA),IF(Scenario="B",IF(Q71="",O71,Q71),O71)))</f>
        <v/>
      </c>
      <c r="K71" s="111">
        <f>IF(OR($A71="",P71=""),"",IF(AND(N71="K",KeyActual&lt;&gt;""),P71+(KeyActual-KeyA),IF(Scenario="B",IF(R71="",P71,R71),P71)))</f>
        <v/>
      </c>
      <c r="L71" s="112">
        <f>IF(OR($A71="",K71=""),"",IF(OR(F71="הושלם",F71="בוטל"),"",K71-Today_))</f>
        <v/>
      </c>
      <c r="M71" s="105" t="n"/>
      <c r="N71" s="108" t="n"/>
      <c r="O71" s="113" t="n"/>
      <c r="P71" s="113" t="n"/>
      <c r="Q71" s="113" t="n"/>
      <c r="R71" s="113" t="n"/>
      <c r="S71" s="105" t="n"/>
      <c r="T71" s="105" t="n"/>
      <c r="U71" s="105" t="n"/>
      <c r="V71" s="114">
        <f>IF(AND($A71&lt;&gt;"",F71&lt;&gt;"הושלם",F71&lt;&gt;"בוטל",J71&lt;&gt;""),IF(J71&lt;=Today_+14,IF(K71="",99999,K71)+ROW()/100000,""),"")</f>
        <v/>
      </c>
      <c r="W71" s="114">
        <f>IFERROR(IF($A71="","",CHOOSE(MATCH(G71,{"לא התחיל","בתהליך","ממתין","תקוע","באיחור","הושלם","בוטל"},0),1,2,3,3,4,5,6)*100000+IF(K71="",99999,K71)+ROW()/1000000),"")</f>
        <v/>
      </c>
      <c r="X71" s="114">
        <f>IF(AND($A71&lt;&gt;"",F71&lt;&gt;"הושלם",F71&lt;&gt;"בוטל",OR(ISNUMBER(SEARCH("אריאל",D71)),D71="כל המשפחה")),IF(K71="",99999,K71)+ROW()/100000,"")</f>
        <v/>
      </c>
      <c r="Y71" s="114">
        <f>IF(AND($A71&lt;&gt;"",F71&lt;&gt;"הושלם",F71&lt;&gt;"בוטל",OR(ISNUMBER(SEARCH("רינת",D71)),D71="כל המשפחה")),IF(K71="",99999,K71)+ROW()/100000,"")</f>
        <v/>
      </c>
      <c r="Z71" s="114">
        <f>IF(AND($A71&lt;&gt;"",F71&lt;&gt;"הושלם",F71&lt;&gt;"בוטל",OR(ISNUMBER(SEARCH("תמר",D71)))),IF(K71="",99999,K71)+ROW()/100000,"")</f>
        <v/>
      </c>
      <c r="AA71" s="114">
        <f>IF(AND($A71&lt;&gt;"",F71&lt;&gt;"הושלם",F71&lt;&gt;"בוטל",NOT(ISNUMBER(SEARCH("אריאל",D71))),NOT(ISNUMBER(SEARCH("רינת",D71))),NOT(ISNUMBER(SEARCH("תמר",D71))),D71&lt;&gt;"כל המשפחה"),IF(K71="",99999,K71)+ROW()/100000,"")</f>
        <v/>
      </c>
    </row>
    <row r="72">
      <c r="A72" s="104" t="n"/>
      <c r="B72" s="105" t="n"/>
      <c r="C72" s="106" t="n"/>
      <c r="D72" s="105" t="n"/>
      <c r="E72" s="107" t="n"/>
      <c r="F72" s="107" t="n"/>
      <c r="G72" s="108">
        <f>IF($A72="","",IF(AND(F72&lt;&gt;"הושלם",F72&lt;&gt;"בוטל",K72&lt;&gt;"",K72&lt;Today_),"באיחור",IF(F72="","לא התחיל",F72)))</f>
        <v/>
      </c>
      <c r="H72" s="109" t="n"/>
      <c r="I72" s="110">
        <f>IF($A72="","",IF(H72&lt;&gt;"",H72,IF(F72="הושלם",1,IF(F72="בתהליך",0.5,IF(OR(F72="ממתין",F72="תקוע"),0.25,0)))))</f>
        <v/>
      </c>
      <c r="J72" s="111">
        <f>IF(OR($A72="",O72=""),"",IF(AND(N72="K",KeyActual&lt;&gt;""),O72+(KeyActual-KeyA),IF(Scenario="B",IF(Q72="",O72,Q72),O72)))</f>
        <v/>
      </c>
      <c r="K72" s="111">
        <f>IF(OR($A72="",P72=""),"",IF(AND(N72="K",KeyActual&lt;&gt;""),P72+(KeyActual-KeyA),IF(Scenario="B",IF(R72="",P72,R72),P72)))</f>
        <v/>
      </c>
      <c r="L72" s="112">
        <f>IF(OR($A72="",K72=""),"",IF(OR(F72="הושלם",F72="בוטל"),"",K72-Today_))</f>
        <v/>
      </c>
      <c r="M72" s="105" t="n"/>
      <c r="N72" s="108" t="n"/>
      <c r="O72" s="113" t="n"/>
      <c r="P72" s="113" t="n"/>
      <c r="Q72" s="113" t="n"/>
      <c r="R72" s="113" t="n"/>
      <c r="S72" s="105" t="n"/>
      <c r="T72" s="105" t="n"/>
      <c r="U72" s="105" t="n"/>
      <c r="V72" s="114">
        <f>IF(AND($A72&lt;&gt;"",F72&lt;&gt;"הושלם",F72&lt;&gt;"בוטל",J72&lt;&gt;""),IF(J72&lt;=Today_+14,IF(K72="",99999,K72)+ROW()/100000,""),"")</f>
        <v/>
      </c>
      <c r="W72" s="114">
        <f>IFERROR(IF($A72="","",CHOOSE(MATCH(G72,{"לא התחיל","בתהליך","ממתין","תקוע","באיחור","הושלם","בוטל"},0),1,2,3,3,4,5,6)*100000+IF(K72="",99999,K72)+ROW()/1000000),"")</f>
        <v/>
      </c>
      <c r="X72" s="114">
        <f>IF(AND($A72&lt;&gt;"",F72&lt;&gt;"הושלם",F72&lt;&gt;"בוטל",OR(ISNUMBER(SEARCH("אריאל",D72)),D72="כל המשפחה")),IF(K72="",99999,K72)+ROW()/100000,"")</f>
        <v/>
      </c>
      <c r="Y72" s="114">
        <f>IF(AND($A72&lt;&gt;"",F72&lt;&gt;"הושלם",F72&lt;&gt;"בוטל",OR(ISNUMBER(SEARCH("רינת",D72)),D72="כל המשפחה")),IF(K72="",99999,K72)+ROW()/100000,"")</f>
        <v/>
      </c>
      <c r="Z72" s="114">
        <f>IF(AND($A72&lt;&gt;"",F72&lt;&gt;"הושלם",F72&lt;&gt;"בוטל",OR(ISNUMBER(SEARCH("תמר",D72)))),IF(K72="",99999,K72)+ROW()/100000,"")</f>
        <v/>
      </c>
      <c r="AA72" s="114">
        <f>IF(AND($A72&lt;&gt;"",F72&lt;&gt;"הושלם",F72&lt;&gt;"בוטל",NOT(ISNUMBER(SEARCH("אריאל",D72))),NOT(ISNUMBER(SEARCH("רינת",D72))),NOT(ISNUMBER(SEARCH("תמר",D72))),D72&lt;&gt;"כל המשפחה"),IF(K72="",99999,K72)+ROW()/100000,"")</f>
        <v/>
      </c>
    </row>
    <row r="73">
      <c r="A73" s="104" t="n"/>
      <c r="B73" s="105" t="n"/>
      <c r="C73" s="106" t="n"/>
      <c r="D73" s="105" t="n"/>
      <c r="E73" s="107" t="n"/>
      <c r="F73" s="107" t="n"/>
      <c r="G73" s="108">
        <f>IF($A73="","",IF(AND(F73&lt;&gt;"הושלם",F73&lt;&gt;"בוטל",K73&lt;&gt;"",K73&lt;Today_),"באיחור",IF(F73="","לא התחיל",F73)))</f>
        <v/>
      </c>
      <c r="H73" s="109" t="n"/>
      <c r="I73" s="110">
        <f>IF($A73="","",IF(H73&lt;&gt;"",H73,IF(F73="הושלם",1,IF(F73="בתהליך",0.5,IF(OR(F73="ממתין",F73="תקוע"),0.25,0)))))</f>
        <v/>
      </c>
      <c r="J73" s="111">
        <f>IF(OR($A73="",O73=""),"",IF(AND(N73="K",KeyActual&lt;&gt;""),O73+(KeyActual-KeyA),IF(Scenario="B",IF(Q73="",O73,Q73),O73)))</f>
        <v/>
      </c>
      <c r="K73" s="111">
        <f>IF(OR($A73="",P73=""),"",IF(AND(N73="K",KeyActual&lt;&gt;""),P73+(KeyActual-KeyA),IF(Scenario="B",IF(R73="",P73,R73),P73)))</f>
        <v/>
      </c>
      <c r="L73" s="112">
        <f>IF(OR($A73="",K73=""),"",IF(OR(F73="הושלם",F73="בוטל"),"",K73-Today_))</f>
        <v/>
      </c>
      <c r="M73" s="105" t="n"/>
      <c r="N73" s="108" t="n"/>
      <c r="O73" s="113" t="n"/>
      <c r="P73" s="113" t="n"/>
      <c r="Q73" s="113" t="n"/>
      <c r="R73" s="113" t="n"/>
      <c r="S73" s="105" t="n"/>
      <c r="T73" s="105" t="n"/>
      <c r="U73" s="105" t="n"/>
      <c r="V73" s="114">
        <f>IF(AND($A73&lt;&gt;"",F73&lt;&gt;"הושלם",F73&lt;&gt;"בוטל",J73&lt;&gt;""),IF(J73&lt;=Today_+14,IF(K73="",99999,K73)+ROW()/100000,""),"")</f>
        <v/>
      </c>
      <c r="W73" s="114">
        <f>IFERROR(IF($A73="","",CHOOSE(MATCH(G73,{"לא התחיל","בתהליך","ממתין","תקוע","באיחור","הושלם","בוטל"},0),1,2,3,3,4,5,6)*100000+IF(K73="",99999,K73)+ROW()/1000000),"")</f>
        <v/>
      </c>
      <c r="X73" s="114">
        <f>IF(AND($A73&lt;&gt;"",F73&lt;&gt;"הושלם",F73&lt;&gt;"בוטל",OR(ISNUMBER(SEARCH("אריאל",D73)),D73="כל המשפחה")),IF(K73="",99999,K73)+ROW()/100000,"")</f>
        <v/>
      </c>
      <c r="Y73" s="114">
        <f>IF(AND($A73&lt;&gt;"",F73&lt;&gt;"הושלם",F73&lt;&gt;"בוטל",OR(ISNUMBER(SEARCH("רינת",D73)),D73="כל המשפחה")),IF(K73="",99999,K73)+ROW()/100000,"")</f>
        <v/>
      </c>
      <c r="Z73" s="114">
        <f>IF(AND($A73&lt;&gt;"",F73&lt;&gt;"הושלם",F73&lt;&gt;"בוטל",OR(ISNUMBER(SEARCH("תמר",D73)))),IF(K73="",99999,K73)+ROW()/100000,"")</f>
        <v/>
      </c>
      <c r="AA73" s="114">
        <f>IF(AND($A73&lt;&gt;"",F73&lt;&gt;"הושלם",F73&lt;&gt;"בוטל",NOT(ISNUMBER(SEARCH("אריאל",D73))),NOT(ISNUMBER(SEARCH("רינת",D73))),NOT(ISNUMBER(SEARCH("תמר",D73))),D73&lt;&gt;"כל המשפחה"),IF(K73="",99999,K73)+ROW()/100000,"")</f>
        <v/>
      </c>
    </row>
    <row r="74">
      <c r="A74" s="104" t="n"/>
      <c r="B74" s="105" t="n"/>
      <c r="C74" s="106" t="n"/>
      <c r="D74" s="105" t="n"/>
      <c r="E74" s="107" t="n"/>
      <c r="F74" s="107" t="n"/>
      <c r="G74" s="108">
        <f>IF($A74="","",IF(AND(F74&lt;&gt;"הושלם",F74&lt;&gt;"בוטל",K74&lt;&gt;"",K74&lt;Today_),"באיחור",IF(F74="","לא התחיל",F74)))</f>
        <v/>
      </c>
      <c r="H74" s="109" t="n"/>
      <c r="I74" s="110">
        <f>IF($A74="","",IF(H74&lt;&gt;"",H74,IF(F74="הושלם",1,IF(F74="בתהליך",0.5,IF(OR(F74="ממתין",F74="תקוע"),0.25,0)))))</f>
        <v/>
      </c>
      <c r="J74" s="111">
        <f>IF(OR($A74="",O74=""),"",IF(AND(N74="K",KeyActual&lt;&gt;""),O74+(KeyActual-KeyA),IF(Scenario="B",IF(Q74="",O74,Q74),O74)))</f>
        <v/>
      </c>
      <c r="K74" s="111">
        <f>IF(OR($A74="",P74=""),"",IF(AND(N74="K",KeyActual&lt;&gt;""),P74+(KeyActual-KeyA),IF(Scenario="B",IF(R74="",P74,R74),P74)))</f>
        <v/>
      </c>
      <c r="L74" s="112">
        <f>IF(OR($A74="",K74=""),"",IF(OR(F74="הושלם",F74="בוטל"),"",K74-Today_))</f>
        <v/>
      </c>
      <c r="M74" s="105" t="n"/>
      <c r="N74" s="108" t="n"/>
      <c r="O74" s="113" t="n"/>
      <c r="P74" s="113" t="n"/>
      <c r="Q74" s="113" t="n"/>
      <c r="R74" s="113" t="n"/>
      <c r="S74" s="105" t="n"/>
      <c r="T74" s="105" t="n"/>
      <c r="U74" s="105" t="n"/>
      <c r="V74" s="114">
        <f>IF(AND($A74&lt;&gt;"",F74&lt;&gt;"הושלם",F74&lt;&gt;"בוטל",J74&lt;&gt;""),IF(J74&lt;=Today_+14,IF(K74="",99999,K74)+ROW()/100000,""),"")</f>
        <v/>
      </c>
      <c r="W74" s="114">
        <f>IFERROR(IF($A74="","",CHOOSE(MATCH(G74,{"לא התחיל","בתהליך","ממתין","תקוע","באיחור","הושלם","בוטל"},0),1,2,3,3,4,5,6)*100000+IF(K74="",99999,K74)+ROW()/1000000),"")</f>
        <v/>
      </c>
      <c r="X74" s="114">
        <f>IF(AND($A74&lt;&gt;"",F74&lt;&gt;"הושלם",F74&lt;&gt;"בוטל",OR(ISNUMBER(SEARCH("אריאל",D74)),D74="כל המשפחה")),IF(K74="",99999,K74)+ROW()/100000,"")</f>
        <v/>
      </c>
      <c r="Y74" s="114">
        <f>IF(AND($A74&lt;&gt;"",F74&lt;&gt;"הושלם",F74&lt;&gt;"בוטל",OR(ISNUMBER(SEARCH("רינת",D74)),D74="כל המשפחה")),IF(K74="",99999,K74)+ROW()/100000,"")</f>
        <v/>
      </c>
      <c r="Z74" s="114">
        <f>IF(AND($A74&lt;&gt;"",F74&lt;&gt;"הושלם",F74&lt;&gt;"בוטל",OR(ISNUMBER(SEARCH("תמר",D74)))),IF(K74="",99999,K74)+ROW()/100000,"")</f>
        <v/>
      </c>
      <c r="AA74" s="114">
        <f>IF(AND($A74&lt;&gt;"",F74&lt;&gt;"הושלם",F74&lt;&gt;"בוטל",NOT(ISNUMBER(SEARCH("אריאל",D74))),NOT(ISNUMBER(SEARCH("רינת",D74))),NOT(ISNUMBER(SEARCH("תמר",D74))),D74&lt;&gt;"כל המשפחה"),IF(K74="",99999,K74)+ROW()/100000,"")</f>
        <v/>
      </c>
    </row>
    <row r="75">
      <c r="A75" s="104" t="n"/>
      <c r="B75" s="105" t="n"/>
      <c r="C75" s="106" t="n"/>
      <c r="D75" s="105" t="n"/>
      <c r="E75" s="107" t="n"/>
      <c r="F75" s="107" t="n"/>
      <c r="G75" s="108">
        <f>IF($A75="","",IF(AND(F75&lt;&gt;"הושלם",F75&lt;&gt;"בוטל",K75&lt;&gt;"",K75&lt;Today_),"באיחור",IF(F75="","לא התחיל",F75)))</f>
        <v/>
      </c>
      <c r="H75" s="109" t="n"/>
      <c r="I75" s="110">
        <f>IF($A75="","",IF(H75&lt;&gt;"",H75,IF(F75="הושלם",1,IF(F75="בתהליך",0.5,IF(OR(F75="ממתין",F75="תקוע"),0.25,0)))))</f>
        <v/>
      </c>
      <c r="J75" s="111">
        <f>IF(OR($A75="",O75=""),"",IF(AND(N75="K",KeyActual&lt;&gt;""),O75+(KeyActual-KeyA),IF(Scenario="B",IF(Q75="",O75,Q75),O75)))</f>
        <v/>
      </c>
      <c r="K75" s="111">
        <f>IF(OR($A75="",P75=""),"",IF(AND(N75="K",KeyActual&lt;&gt;""),P75+(KeyActual-KeyA),IF(Scenario="B",IF(R75="",P75,R75),P75)))</f>
        <v/>
      </c>
      <c r="L75" s="112">
        <f>IF(OR($A75="",K75=""),"",IF(OR(F75="הושלם",F75="בוטל"),"",K75-Today_))</f>
        <v/>
      </c>
      <c r="M75" s="105" t="n"/>
      <c r="N75" s="108" t="n"/>
      <c r="O75" s="113" t="n"/>
      <c r="P75" s="113" t="n"/>
      <c r="Q75" s="113" t="n"/>
      <c r="R75" s="113" t="n"/>
      <c r="S75" s="105" t="n"/>
      <c r="T75" s="105" t="n"/>
      <c r="U75" s="105" t="n"/>
      <c r="V75" s="114">
        <f>IF(AND($A75&lt;&gt;"",F75&lt;&gt;"הושלם",F75&lt;&gt;"בוטל",J75&lt;&gt;""),IF(J75&lt;=Today_+14,IF(K75="",99999,K75)+ROW()/100000,""),"")</f>
        <v/>
      </c>
      <c r="W75" s="114">
        <f>IFERROR(IF($A75="","",CHOOSE(MATCH(G75,{"לא התחיל","בתהליך","ממתין","תקוע","באיחור","הושלם","בוטל"},0),1,2,3,3,4,5,6)*100000+IF(K75="",99999,K75)+ROW()/1000000),"")</f>
        <v/>
      </c>
      <c r="X75" s="114">
        <f>IF(AND($A75&lt;&gt;"",F75&lt;&gt;"הושלם",F75&lt;&gt;"בוטל",OR(ISNUMBER(SEARCH("אריאל",D75)),D75="כל המשפחה")),IF(K75="",99999,K75)+ROW()/100000,"")</f>
        <v/>
      </c>
      <c r="Y75" s="114">
        <f>IF(AND($A75&lt;&gt;"",F75&lt;&gt;"הושלם",F75&lt;&gt;"בוטל",OR(ISNUMBER(SEARCH("רינת",D75)),D75="כל המשפחה")),IF(K75="",99999,K75)+ROW()/100000,"")</f>
        <v/>
      </c>
      <c r="Z75" s="114">
        <f>IF(AND($A75&lt;&gt;"",F75&lt;&gt;"הושלם",F75&lt;&gt;"בוטל",OR(ISNUMBER(SEARCH("תמר",D75)))),IF(K75="",99999,K75)+ROW()/100000,"")</f>
        <v/>
      </c>
      <c r="AA75" s="114">
        <f>IF(AND($A75&lt;&gt;"",F75&lt;&gt;"הושלם",F75&lt;&gt;"בוטל",NOT(ISNUMBER(SEARCH("אריאל",D75))),NOT(ISNUMBER(SEARCH("רינת",D75))),NOT(ISNUMBER(SEARCH("תמר",D75))),D75&lt;&gt;"כל המשפחה"),IF(K75="",99999,K75)+ROW()/100000,"")</f>
        <v/>
      </c>
    </row>
    <row r="76">
      <c r="A76" s="104" t="n"/>
      <c r="B76" s="105" t="n"/>
      <c r="C76" s="106" t="n"/>
      <c r="D76" s="105" t="n"/>
      <c r="E76" s="107" t="n"/>
      <c r="F76" s="107" t="n"/>
      <c r="G76" s="108">
        <f>IF($A76="","",IF(AND(F76&lt;&gt;"הושלם",F76&lt;&gt;"בוטל",K76&lt;&gt;"",K76&lt;Today_),"באיחור",IF(F76="","לא התחיל",F76)))</f>
        <v/>
      </c>
      <c r="H76" s="109" t="n"/>
      <c r="I76" s="110">
        <f>IF($A76="","",IF(H76&lt;&gt;"",H76,IF(F76="הושלם",1,IF(F76="בתהליך",0.5,IF(OR(F76="ממתין",F76="תקוע"),0.25,0)))))</f>
        <v/>
      </c>
      <c r="J76" s="111">
        <f>IF(OR($A76="",O76=""),"",IF(AND(N76="K",KeyActual&lt;&gt;""),O76+(KeyActual-KeyA),IF(Scenario="B",IF(Q76="",O76,Q76),O76)))</f>
        <v/>
      </c>
      <c r="K76" s="111">
        <f>IF(OR($A76="",P76=""),"",IF(AND(N76="K",KeyActual&lt;&gt;""),P76+(KeyActual-KeyA),IF(Scenario="B",IF(R76="",P76,R76),P76)))</f>
        <v/>
      </c>
      <c r="L76" s="112">
        <f>IF(OR($A76="",K76=""),"",IF(OR(F76="הושלם",F76="בוטל"),"",K76-Today_))</f>
        <v/>
      </c>
      <c r="M76" s="105" t="n"/>
      <c r="N76" s="108" t="n"/>
      <c r="O76" s="113" t="n"/>
      <c r="P76" s="113" t="n"/>
      <c r="Q76" s="113" t="n"/>
      <c r="R76" s="113" t="n"/>
      <c r="S76" s="105" t="n"/>
      <c r="T76" s="105" t="n"/>
      <c r="U76" s="105" t="n"/>
      <c r="V76" s="114">
        <f>IF(AND($A76&lt;&gt;"",F76&lt;&gt;"הושלם",F76&lt;&gt;"בוטל",J76&lt;&gt;""),IF(J76&lt;=Today_+14,IF(K76="",99999,K76)+ROW()/100000,""),"")</f>
        <v/>
      </c>
      <c r="W76" s="114">
        <f>IFERROR(IF($A76="","",CHOOSE(MATCH(G76,{"לא התחיל","בתהליך","ממתין","תקוע","באיחור","הושלם","בוטל"},0),1,2,3,3,4,5,6)*100000+IF(K76="",99999,K76)+ROW()/1000000),"")</f>
        <v/>
      </c>
      <c r="X76" s="114">
        <f>IF(AND($A76&lt;&gt;"",F76&lt;&gt;"הושלם",F76&lt;&gt;"בוטל",OR(ISNUMBER(SEARCH("אריאל",D76)),D76="כל המשפחה")),IF(K76="",99999,K76)+ROW()/100000,"")</f>
        <v/>
      </c>
      <c r="Y76" s="114">
        <f>IF(AND($A76&lt;&gt;"",F76&lt;&gt;"הושלם",F76&lt;&gt;"בוטל",OR(ISNUMBER(SEARCH("רינת",D76)),D76="כל המשפחה")),IF(K76="",99999,K76)+ROW()/100000,"")</f>
        <v/>
      </c>
      <c r="Z76" s="114">
        <f>IF(AND($A76&lt;&gt;"",F76&lt;&gt;"הושלם",F76&lt;&gt;"בוטל",OR(ISNUMBER(SEARCH("תמר",D76)))),IF(K76="",99999,K76)+ROW()/100000,"")</f>
        <v/>
      </c>
      <c r="AA76" s="114">
        <f>IF(AND($A76&lt;&gt;"",F76&lt;&gt;"הושלם",F76&lt;&gt;"בוטל",NOT(ISNUMBER(SEARCH("אריאל",D76))),NOT(ISNUMBER(SEARCH("רינת",D76))),NOT(ISNUMBER(SEARCH("תמר",D76))),D76&lt;&gt;"כל המשפחה"),IF(K76="",99999,K76)+ROW()/100000,"")</f>
        <v/>
      </c>
    </row>
    <row r="77">
      <c r="A77" s="104" t="n"/>
      <c r="B77" s="105" t="n"/>
      <c r="C77" s="106" t="n"/>
      <c r="D77" s="105" t="n"/>
      <c r="E77" s="107" t="n"/>
      <c r="F77" s="107" t="n"/>
      <c r="G77" s="108">
        <f>IF($A77="","",IF(AND(F77&lt;&gt;"הושלם",F77&lt;&gt;"בוטל",K77&lt;&gt;"",K77&lt;Today_),"באיחור",IF(F77="","לא התחיל",F77)))</f>
        <v/>
      </c>
      <c r="H77" s="109" t="n"/>
      <c r="I77" s="110">
        <f>IF($A77="","",IF(H77&lt;&gt;"",H77,IF(F77="הושלם",1,IF(F77="בתהליך",0.5,IF(OR(F77="ממתין",F77="תקוע"),0.25,0)))))</f>
        <v/>
      </c>
      <c r="J77" s="111">
        <f>IF(OR($A77="",O77=""),"",IF(AND(N77="K",KeyActual&lt;&gt;""),O77+(KeyActual-KeyA),IF(Scenario="B",IF(Q77="",O77,Q77),O77)))</f>
        <v/>
      </c>
      <c r="K77" s="111">
        <f>IF(OR($A77="",P77=""),"",IF(AND(N77="K",KeyActual&lt;&gt;""),P77+(KeyActual-KeyA),IF(Scenario="B",IF(R77="",P77,R77),P77)))</f>
        <v/>
      </c>
      <c r="L77" s="112">
        <f>IF(OR($A77="",K77=""),"",IF(OR(F77="הושלם",F77="בוטל"),"",K77-Today_))</f>
        <v/>
      </c>
      <c r="M77" s="105" t="n"/>
      <c r="N77" s="108" t="n"/>
      <c r="O77" s="113" t="n"/>
      <c r="P77" s="113" t="n"/>
      <c r="Q77" s="113" t="n"/>
      <c r="R77" s="113" t="n"/>
      <c r="S77" s="105" t="n"/>
      <c r="T77" s="105" t="n"/>
      <c r="U77" s="105" t="n"/>
      <c r="V77" s="114">
        <f>IF(AND($A77&lt;&gt;"",F77&lt;&gt;"הושלם",F77&lt;&gt;"בוטל",J77&lt;&gt;""),IF(J77&lt;=Today_+14,IF(K77="",99999,K77)+ROW()/100000,""),"")</f>
        <v/>
      </c>
      <c r="W77" s="114">
        <f>IFERROR(IF($A77="","",CHOOSE(MATCH(G77,{"לא התחיל","בתהליך","ממתין","תקוע","באיחור","הושלם","בוטל"},0),1,2,3,3,4,5,6)*100000+IF(K77="",99999,K77)+ROW()/1000000),"")</f>
        <v/>
      </c>
      <c r="X77" s="114">
        <f>IF(AND($A77&lt;&gt;"",F77&lt;&gt;"הושלם",F77&lt;&gt;"בוטל",OR(ISNUMBER(SEARCH("אריאל",D77)),D77="כל המשפחה")),IF(K77="",99999,K77)+ROW()/100000,"")</f>
        <v/>
      </c>
      <c r="Y77" s="114">
        <f>IF(AND($A77&lt;&gt;"",F77&lt;&gt;"הושלם",F77&lt;&gt;"בוטל",OR(ISNUMBER(SEARCH("רינת",D77)),D77="כל המשפחה")),IF(K77="",99999,K77)+ROW()/100000,"")</f>
        <v/>
      </c>
      <c r="Z77" s="114">
        <f>IF(AND($A77&lt;&gt;"",F77&lt;&gt;"הושלם",F77&lt;&gt;"בוטל",OR(ISNUMBER(SEARCH("תמר",D77)))),IF(K77="",99999,K77)+ROW()/100000,"")</f>
        <v/>
      </c>
      <c r="AA77" s="114">
        <f>IF(AND($A77&lt;&gt;"",F77&lt;&gt;"הושלם",F77&lt;&gt;"בוטל",NOT(ISNUMBER(SEARCH("אריאל",D77))),NOT(ISNUMBER(SEARCH("רינת",D77))),NOT(ISNUMBER(SEARCH("תמר",D77))),D77&lt;&gt;"כל המשפחה"),IF(K77="",99999,K77)+ROW()/100000,"")</f>
        <v/>
      </c>
    </row>
    <row r="78">
      <c r="A78" s="104" t="n"/>
      <c r="B78" s="105" t="n"/>
      <c r="C78" s="106" t="n"/>
      <c r="D78" s="105" t="n"/>
      <c r="E78" s="107" t="n"/>
      <c r="F78" s="107" t="n"/>
      <c r="G78" s="108">
        <f>IF($A78="","",IF(AND(F78&lt;&gt;"הושלם",F78&lt;&gt;"בוטל",K78&lt;&gt;"",K78&lt;Today_),"באיחור",IF(F78="","לא התחיל",F78)))</f>
        <v/>
      </c>
      <c r="H78" s="109" t="n"/>
      <c r="I78" s="110">
        <f>IF($A78="","",IF(H78&lt;&gt;"",H78,IF(F78="הושלם",1,IF(F78="בתהליך",0.5,IF(OR(F78="ממתין",F78="תקוע"),0.25,0)))))</f>
        <v/>
      </c>
      <c r="J78" s="111">
        <f>IF(OR($A78="",O78=""),"",IF(AND(N78="K",KeyActual&lt;&gt;""),O78+(KeyActual-KeyA),IF(Scenario="B",IF(Q78="",O78,Q78),O78)))</f>
        <v/>
      </c>
      <c r="K78" s="111">
        <f>IF(OR($A78="",P78=""),"",IF(AND(N78="K",KeyActual&lt;&gt;""),P78+(KeyActual-KeyA),IF(Scenario="B",IF(R78="",P78,R78),P78)))</f>
        <v/>
      </c>
      <c r="L78" s="112">
        <f>IF(OR($A78="",K78=""),"",IF(OR(F78="הושלם",F78="בוטל"),"",K78-Today_))</f>
        <v/>
      </c>
      <c r="M78" s="105" t="n"/>
      <c r="N78" s="108" t="n"/>
      <c r="O78" s="113" t="n"/>
      <c r="P78" s="113" t="n"/>
      <c r="Q78" s="113" t="n"/>
      <c r="R78" s="113" t="n"/>
      <c r="S78" s="105" t="n"/>
      <c r="T78" s="105" t="n"/>
      <c r="U78" s="105" t="n"/>
      <c r="V78" s="114">
        <f>IF(AND($A78&lt;&gt;"",F78&lt;&gt;"הושלם",F78&lt;&gt;"בוטל",J78&lt;&gt;""),IF(J78&lt;=Today_+14,IF(K78="",99999,K78)+ROW()/100000,""),"")</f>
        <v/>
      </c>
      <c r="W78" s="114">
        <f>IFERROR(IF($A78="","",CHOOSE(MATCH(G78,{"לא התחיל","בתהליך","ממתין","תקוע","באיחור","הושלם","בוטל"},0),1,2,3,3,4,5,6)*100000+IF(K78="",99999,K78)+ROW()/1000000),"")</f>
        <v/>
      </c>
      <c r="X78" s="114">
        <f>IF(AND($A78&lt;&gt;"",F78&lt;&gt;"הושלם",F78&lt;&gt;"בוטל",OR(ISNUMBER(SEARCH("אריאל",D78)),D78="כל המשפחה")),IF(K78="",99999,K78)+ROW()/100000,"")</f>
        <v/>
      </c>
      <c r="Y78" s="114">
        <f>IF(AND($A78&lt;&gt;"",F78&lt;&gt;"הושלם",F78&lt;&gt;"בוטל",OR(ISNUMBER(SEARCH("רינת",D78)),D78="כל המשפחה")),IF(K78="",99999,K78)+ROW()/100000,"")</f>
        <v/>
      </c>
      <c r="Z78" s="114">
        <f>IF(AND($A78&lt;&gt;"",F78&lt;&gt;"הושלם",F78&lt;&gt;"בוטל",OR(ISNUMBER(SEARCH("תמר",D78)))),IF(K78="",99999,K78)+ROW()/100000,"")</f>
        <v/>
      </c>
      <c r="AA78" s="114">
        <f>IF(AND($A78&lt;&gt;"",F78&lt;&gt;"הושלם",F78&lt;&gt;"בוטל",NOT(ISNUMBER(SEARCH("אריאל",D78))),NOT(ISNUMBER(SEARCH("רינת",D78))),NOT(ISNUMBER(SEARCH("תמר",D78))),D78&lt;&gt;"כל המשפחה"),IF(K78="",99999,K78)+ROW()/100000,"")</f>
        <v/>
      </c>
    </row>
    <row r="79">
      <c r="A79" s="104" t="n"/>
      <c r="B79" s="105" t="n"/>
      <c r="C79" s="106" t="n"/>
      <c r="D79" s="105" t="n"/>
      <c r="E79" s="107" t="n"/>
      <c r="F79" s="107" t="n"/>
      <c r="G79" s="108">
        <f>IF($A79="","",IF(AND(F79&lt;&gt;"הושלם",F79&lt;&gt;"בוטל",K79&lt;&gt;"",K79&lt;Today_),"באיחור",IF(F79="","לא התחיל",F79)))</f>
        <v/>
      </c>
      <c r="H79" s="109" t="n"/>
      <c r="I79" s="110">
        <f>IF($A79="","",IF(H79&lt;&gt;"",H79,IF(F79="הושלם",1,IF(F79="בתהליך",0.5,IF(OR(F79="ממתין",F79="תקוע"),0.25,0)))))</f>
        <v/>
      </c>
      <c r="J79" s="111">
        <f>IF(OR($A79="",O79=""),"",IF(AND(N79="K",KeyActual&lt;&gt;""),O79+(KeyActual-KeyA),IF(Scenario="B",IF(Q79="",O79,Q79),O79)))</f>
        <v/>
      </c>
      <c r="K79" s="111">
        <f>IF(OR($A79="",P79=""),"",IF(AND(N79="K",KeyActual&lt;&gt;""),P79+(KeyActual-KeyA),IF(Scenario="B",IF(R79="",P79,R79),P79)))</f>
        <v/>
      </c>
      <c r="L79" s="112">
        <f>IF(OR($A79="",K79=""),"",IF(OR(F79="הושלם",F79="בוטל"),"",K79-Today_))</f>
        <v/>
      </c>
      <c r="M79" s="105" t="n"/>
      <c r="N79" s="108" t="n"/>
      <c r="O79" s="113" t="n"/>
      <c r="P79" s="113" t="n"/>
      <c r="Q79" s="113" t="n"/>
      <c r="R79" s="113" t="n"/>
      <c r="S79" s="105" t="n"/>
      <c r="T79" s="105" t="n"/>
      <c r="U79" s="105" t="n"/>
      <c r="V79" s="114">
        <f>IF(AND($A79&lt;&gt;"",F79&lt;&gt;"הושלם",F79&lt;&gt;"בוטל",J79&lt;&gt;""),IF(J79&lt;=Today_+14,IF(K79="",99999,K79)+ROW()/100000,""),"")</f>
        <v/>
      </c>
      <c r="W79" s="114">
        <f>IFERROR(IF($A79="","",CHOOSE(MATCH(G79,{"לא התחיל","בתהליך","ממתין","תקוע","באיחור","הושלם","בוטל"},0),1,2,3,3,4,5,6)*100000+IF(K79="",99999,K79)+ROW()/1000000),"")</f>
        <v/>
      </c>
      <c r="X79" s="114">
        <f>IF(AND($A79&lt;&gt;"",F79&lt;&gt;"הושלם",F79&lt;&gt;"בוטל",OR(ISNUMBER(SEARCH("אריאל",D79)),D79="כל המשפחה")),IF(K79="",99999,K79)+ROW()/100000,"")</f>
        <v/>
      </c>
      <c r="Y79" s="114">
        <f>IF(AND($A79&lt;&gt;"",F79&lt;&gt;"הושלם",F79&lt;&gt;"בוטל",OR(ISNUMBER(SEARCH("רינת",D79)),D79="כל המשפחה")),IF(K79="",99999,K79)+ROW()/100000,"")</f>
        <v/>
      </c>
      <c r="Z79" s="114">
        <f>IF(AND($A79&lt;&gt;"",F79&lt;&gt;"הושלם",F79&lt;&gt;"בוטל",OR(ISNUMBER(SEARCH("תמר",D79)))),IF(K79="",99999,K79)+ROW()/100000,"")</f>
        <v/>
      </c>
      <c r="AA79" s="114">
        <f>IF(AND($A79&lt;&gt;"",F79&lt;&gt;"הושלם",F79&lt;&gt;"בוטל",NOT(ISNUMBER(SEARCH("אריאל",D79))),NOT(ISNUMBER(SEARCH("רינת",D79))),NOT(ISNUMBER(SEARCH("תמר",D79))),D79&lt;&gt;"כל המשפחה"),IF(K79="",99999,K79)+ROW()/100000,"")</f>
        <v/>
      </c>
    </row>
    <row r="80">
      <c r="A80" s="104" t="n"/>
      <c r="B80" s="105" t="n"/>
      <c r="C80" s="106" t="n"/>
      <c r="D80" s="105" t="n"/>
      <c r="E80" s="107" t="n"/>
      <c r="F80" s="107" t="n"/>
      <c r="G80" s="108">
        <f>IF($A80="","",IF(AND(F80&lt;&gt;"הושלם",F80&lt;&gt;"בוטל",K80&lt;&gt;"",K80&lt;Today_),"באיחור",IF(F80="","לא התחיל",F80)))</f>
        <v/>
      </c>
      <c r="H80" s="109" t="n"/>
      <c r="I80" s="110">
        <f>IF($A80="","",IF(H80&lt;&gt;"",H80,IF(F80="הושלם",1,IF(F80="בתהליך",0.5,IF(OR(F80="ממתין",F80="תקוע"),0.25,0)))))</f>
        <v/>
      </c>
      <c r="J80" s="111">
        <f>IF(OR($A80="",O80=""),"",IF(AND(N80="K",KeyActual&lt;&gt;""),O80+(KeyActual-KeyA),IF(Scenario="B",IF(Q80="",O80,Q80),O80)))</f>
        <v/>
      </c>
      <c r="K80" s="111">
        <f>IF(OR($A80="",P80=""),"",IF(AND(N80="K",KeyActual&lt;&gt;""),P80+(KeyActual-KeyA),IF(Scenario="B",IF(R80="",P80,R80),P80)))</f>
        <v/>
      </c>
      <c r="L80" s="112">
        <f>IF(OR($A80="",K80=""),"",IF(OR(F80="הושלם",F80="בוטל"),"",K80-Today_))</f>
        <v/>
      </c>
      <c r="M80" s="105" t="n"/>
      <c r="N80" s="108" t="n"/>
      <c r="O80" s="113" t="n"/>
      <c r="P80" s="113" t="n"/>
      <c r="Q80" s="113" t="n"/>
      <c r="R80" s="113" t="n"/>
      <c r="S80" s="105" t="n"/>
      <c r="T80" s="105" t="n"/>
      <c r="U80" s="105" t="n"/>
      <c r="V80" s="114">
        <f>IF(AND($A80&lt;&gt;"",F80&lt;&gt;"הושלם",F80&lt;&gt;"בוטל",J80&lt;&gt;""),IF(J80&lt;=Today_+14,IF(K80="",99999,K80)+ROW()/100000,""),"")</f>
        <v/>
      </c>
      <c r="W80" s="114">
        <f>IFERROR(IF($A80="","",CHOOSE(MATCH(G80,{"לא התחיל","בתהליך","ממתין","תקוע","באיחור","הושלם","בוטל"},0),1,2,3,3,4,5,6)*100000+IF(K80="",99999,K80)+ROW()/1000000),"")</f>
        <v/>
      </c>
      <c r="X80" s="114">
        <f>IF(AND($A80&lt;&gt;"",F80&lt;&gt;"הושלם",F80&lt;&gt;"בוטל",OR(ISNUMBER(SEARCH("אריאל",D80)),D80="כל המשפחה")),IF(K80="",99999,K80)+ROW()/100000,"")</f>
        <v/>
      </c>
      <c r="Y80" s="114">
        <f>IF(AND($A80&lt;&gt;"",F80&lt;&gt;"הושלם",F80&lt;&gt;"בוטל",OR(ISNUMBER(SEARCH("רינת",D80)),D80="כל המשפחה")),IF(K80="",99999,K80)+ROW()/100000,"")</f>
        <v/>
      </c>
      <c r="Z80" s="114">
        <f>IF(AND($A80&lt;&gt;"",F80&lt;&gt;"הושלם",F80&lt;&gt;"בוטל",OR(ISNUMBER(SEARCH("תמר",D80)))),IF(K80="",99999,K80)+ROW()/100000,"")</f>
        <v/>
      </c>
      <c r="AA80" s="114">
        <f>IF(AND($A80&lt;&gt;"",F80&lt;&gt;"הושלם",F80&lt;&gt;"בוטל",NOT(ISNUMBER(SEARCH("אריאל",D80))),NOT(ISNUMBER(SEARCH("רינת",D80))),NOT(ISNUMBER(SEARCH("תמר",D80))),D80&lt;&gt;"כל המשפחה"),IF(K80="",99999,K80)+ROW()/100000,"")</f>
        <v/>
      </c>
    </row>
    <row r="81">
      <c r="A81" s="104" t="n"/>
      <c r="B81" s="105" t="n"/>
      <c r="C81" s="106" t="n"/>
      <c r="D81" s="105" t="n"/>
      <c r="E81" s="107" t="n"/>
      <c r="F81" s="107" t="n"/>
      <c r="G81" s="108">
        <f>IF($A81="","",IF(AND(F81&lt;&gt;"הושלם",F81&lt;&gt;"בוטל",K81&lt;&gt;"",K81&lt;Today_),"באיחור",IF(F81="","לא התחיל",F81)))</f>
        <v/>
      </c>
      <c r="H81" s="109" t="n"/>
      <c r="I81" s="110">
        <f>IF($A81="","",IF(H81&lt;&gt;"",H81,IF(F81="הושלם",1,IF(F81="בתהליך",0.5,IF(OR(F81="ממתין",F81="תקוע"),0.25,0)))))</f>
        <v/>
      </c>
      <c r="J81" s="111">
        <f>IF(OR($A81="",O81=""),"",IF(AND(N81="K",KeyActual&lt;&gt;""),O81+(KeyActual-KeyA),IF(Scenario="B",IF(Q81="",O81,Q81),O81)))</f>
        <v/>
      </c>
      <c r="K81" s="111">
        <f>IF(OR($A81="",P81=""),"",IF(AND(N81="K",KeyActual&lt;&gt;""),P81+(KeyActual-KeyA),IF(Scenario="B",IF(R81="",P81,R81),P81)))</f>
        <v/>
      </c>
      <c r="L81" s="112">
        <f>IF(OR($A81="",K81=""),"",IF(OR(F81="הושלם",F81="בוטל"),"",K81-Today_))</f>
        <v/>
      </c>
      <c r="M81" s="105" t="n"/>
      <c r="N81" s="108" t="n"/>
      <c r="O81" s="113" t="n"/>
      <c r="P81" s="113" t="n"/>
      <c r="Q81" s="113" t="n"/>
      <c r="R81" s="113" t="n"/>
      <c r="S81" s="105" t="n"/>
      <c r="T81" s="105" t="n"/>
      <c r="U81" s="105" t="n"/>
      <c r="V81" s="114">
        <f>IF(AND($A81&lt;&gt;"",F81&lt;&gt;"הושלם",F81&lt;&gt;"בוטל",J81&lt;&gt;""),IF(J81&lt;=Today_+14,IF(K81="",99999,K81)+ROW()/100000,""),"")</f>
        <v/>
      </c>
      <c r="W81" s="114">
        <f>IFERROR(IF($A81="","",CHOOSE(MATCH(G81,{"לא התחיל","בתהליך","ממתין","תקוע","באיחור","הושלם","בוטל"},0),1,2,3,3,4,5,6)*100000+IF(K81="",99999,K81)+ROW()/1000000),"")</f>
        <v/>
      </c>
      <c r="X81" s="114">
        <f>IF(AND($A81&lt;&gt;"",F81&lt;&gt;"הושלם",F81&lt;&gt;"בוטל",OR(ISNUMBER(SEARCH("אריאל",D81)),D81="כל המשפחה")),IF(K81="",99999,K81)+ROW()/100000,"")</f>
        <v/>
      </c>
      <c r="Y81" s="114">
        <f>IF(AND($A81&lt;&gt;"",F81&lt;&gt;"הושלם",F81&lt;&gt;"בוטל",OR(ISNUMBER(SEARCH("רינת",D81)),D81="כל המשפחה")),IF(K81="",99999,K81)+ROW()/100000,"")</f>
        <v/>
      </c>
      <c r="Z81" s="114">
        <f>IF(AND($A81&lt;&gt;"",F81&lt;&gt;"הושלם",F81&lt;&gt;"בוטל",OR(ISNUMBER(SEARCH("תמר",D81)))),IF(K81="",99999,K81)+ROW()/100000,"")</f>
        <v/>
      </c>
      <c r="AA81" s="114">
        <f>IF(AND($A81&lt;&gt;"",F81&lt;&gt;"הושלם",F81&lt;&gt;"בוטל",NOT(ISNUMBER(SEARCH("אריאל",D81))),NOT(ISNUMBER(SEARCH("רינת",D81))),NOT(ISNUMBER(SEARCH("תמר",D81))),D81&lt;&gt;"כל המשפחה"),IF(K81="",99999,K81)+ROW()/100000,"")</f>
        <v/>
      </c>
    </row>
    <row r="82">
      <c r="A82" s="104" t="n"/>
      <c r="B82" s="105" t="n"/>
      <c r="C82" s="106" t="n"/>
      <c r="D82" s="105" t="n"/>
      <c r="E82" s="107" t="n"/>
      <c r="F82" s="107" t="n"/>
      <c r="G82" s="108">
        <f>IF($A82="","",IF(AND(F82&lt;&gt;"הושלם",F82&lt;&gt;"בוטל",K82&lt;&gt;"",K82&lt;Today_),"באיחור",IF(F82="","לא התחיל",F82)))</f>
        <v/>
      </c>
      <c r="H82" s="109" t="n"/>
      <c r="I82" s="110">
        <f>IF($A82="","",IF(H82&lt;&gt;"",H82,IF(F82="הושלם",1,IF(F82="בתהליך",0.5,IF(OR(F82="ממתין",F82="תקוע"),0.25,0)))))</f>
        <v/>
      </c>
      <c r="J82" s="111">
        <f>IF(OR($A82="",O82=""),"",IF(AND(N82="K",KeyActual&lt;&gt;""),O82+(KeyActual-KeyA),IF(Scenario="B",IF(Q82="",O82,Q82),O82)))</f>
        <v/>
      </c>
      <c r="K82" s="111">
        <f>IF(OR($A82="",P82=""),"",IF(AND(N82="K",KeyActual&lt;&gt;""),P82+(KeyActual-KeyA),IF(Scenario="B",IF(R82="",P82,R82),P82)))</f>
        <v/>
      </c>
      <c r="L82" s="112">
        <f>IF(OR($A82="",K82=""),"",IF(OR(F82="הושלם",F82="בוטל"),"",K82-Today_))</f>
        <v/>
      </c>
      <c r="M82" s="105" t="n"/>
      <c r="N82" s="108" t="n"/>
      <c r="O82" s="113" t="n"/>
      <c r="P82" s="113" t="n"/>
      <c r="Q82" s="113" t="n"/>
      <c r="R82" s="113" t="n"/>
      <c r="S82" s="105" t="n"/>
      <c r="T82" s="105" t="n"/>
      <c r="U82" s="105" t="n"/>
      <c r="V82" s="114">
        <f>IF(AND($A82&lt;&gt;"",F82&lt;&gt;"הושלם",F82&lt;&gt;"בוטל",J82&lt;&gt;""),IF(J82&lt;=Today_+14,IF(K82="",99999,K82)+ROW()/100000,""),"")</f>
        <v/>
      </c>
      <c r="W82" s="114">
        <f>IFERROR(IF($A82="","",CHOOSE(MATCH(G82,{"לא התחיל","בתהליך","ממתין","תקוע","באיחור","הושלם","בוטל"},0),1,2,3,3,4,5,6)*100000+IF(K82="",99999,K82)+ROW()/1000000),"")</f>
        <v/>
      </c>
      <c r="X82" s="114">
        <f>IF(AND($A82&lt;&gt;"",F82&lt;&gt;"הושלם",F82&lt;&gt;"בוטל",OR(ISNUMBER(SEARCH("אריאל",D82)),D82="כל המשפחה")),IF(K82="",99999,K82)+ROW()/100000,"")</f>
        <v/>
      </c>
      <c r="Y82" s="114">
        <f>IF(AND($A82&lt;&gt;"",F82&lt;&gt;"הושלם",F82&lt;&gt;"בוטל",OR(ISNUMBER(SEARCH("רינת",D82)),D82="כל המשפחה")),IF(K82="",99999,K82)+ROW()/100000,"")</f>
        <v/>
      </c>
      <c r="Z82" s="114">
        <f>IF(AND($A82&lt;&gt;"",F82&lt;&gt;"הושלם",F82&lt;&gt;"בוטל",OR(ISNUMBER(SEARCH("תמר",D82)))),IF(K82="",99999,K82)+ROW()/100000,"")</f>
        <v/>
      </c>
      <c r="AA82" s="114">
        <f>IF(AND($A82&lt;&gt;"",F82&lt;&gt;"הושלם",F82&lt;&gt;"בוטל",NOT(ISNUMBER(SEARCH("אריאל",D82))),NOT(ISNUMBER(SEARCH("רינת",D82))),NOT(ISNUMBER(SEARCH("תמר",D82))),D82&lt;&gt;"כל המשפחה"),IF(K82="",99999,K82)+ROW()/100000,"")</f>
        <v/>
      </c>
    </row>
    <row r="83">
      <c r="A83" s="104" t="n"/>
      <c r="B83" s="105" t="n"/>
      <c r="C83" s="106" t="n"/>
      <c r="D83" s="105" t="n"/>
      <c r="E83" s="107" t="n"/>
      <c r="F83" s="107" t="n"/>
      <c r="G83" s="108">
        <f>IF($A83="","",IF(AND(F83&lt;&gt;"הושלם",F83&lt;&gt;"בוטל",K83&lt;&gt;"",K83&lt;Today_),"באיחור",IF(F83="","לא התחיל",F83)))</f>
        <v/>
      </c>
      <c r="H83" s="109" t="n"/>
      <c r="I83" s="110">
        <f>IF($A83="","",IF(H83&lt;&gt;"",H83,IF(F83="הושלם",1,IF(F83="בתהליך",0.5,IF(OR(F83="ממתין",F83="תקוע"),0.25,0)))))</f>
        <v/>
      </c>
      <c r="J83" s="111">
        <f>IF(OR($A83="",O83=""),"",IF(AND(N83="K",KeyActual&lt;&gt;""),O83+(KeyActual-KeyA),IF(Scenario="B",IF(Q83="",O83,Q83),O83)))</f>
        <v/>
      </c>
      <c r="K83" s="111">
        <f>IF(OR($A83="",P83=""),"",IF(AND(N83="K",KeyActual&lt;&gt;""),P83+(KeyActual-KeyA),IF(Scenario="B",IF(R83="",P83,R83),P83)))</f>
        <v/>
      </c>
      <c r="L83" s="112">
        <f>IF(OR($A83="",K83=""),"",IF(OR(F83="הושלם",F83="בוטל"),"",K83-Today_))</f>
        <v/>
      </c>
      <c r="M83" s="105" t="n"/>
      <c r="N83" s="108" t="n"/>
      <c r="O83" s="113" t="n"/>
      <c r="P83" s="113" t="n"/>
      <c r="Q83" s="113" t="n"/>
      <c r="R83" s="113" t="n"/>
      <c r="S83" s="105" t="n"/>
      <c r="T83" s="105" t="n"/>
      <c r="U83" s="105" t="n"/>
      <c r="V83" s="114">
        <f>IF(AND($A83&lt;&gt;"",F83&lt;&gt;"הושלם",F83&lt;&gt;"בוטל",J83&lt;&gt;""),IF(J83&lt;=Today_+14,IF(K83="",99999,K83)+ROW()/100000,""),"")</f>
        <v/>
      </c>
      <c r="W83" s="114">
        <f>IFERROR(IF($A83="","",CHOOSE(MATCH(G83,{"לא התחיל","בתהליך","ממתין","תקוע","באיחור","הושלם","בוטל"},0),1,2,3,3,4,5,6)*100000+IF(K83="",99999,K83)+ROW()/1000000),"")</f>
        <v/>
      </c>
      <c r="X83" s="114">
        <f>IF(AND($A83&lt;&gt;"",F83&lt;&gt;"הושלם",F83&lt;&gt;"בוטל",OR(ISNUMBER(SEARCH("אריאל",D83)),D83="כל המשפחה")),IF(K83="",99999,K83)+ROW()/100000,"")</f>
        <v/>
      </c>
      <c r="Y83" s="114">
        <f>IF(AND($A83&lt;&gt;"",F83&lt;&gt;"הושלם",F83&lt;&gt;"בוטל",OR(ISNUMBER(SEARCH("רינת",D83)),D83="כל המשפחה")),IF(K83="",99999,K83)+ROW()/100000,"")</f>
        <v/>
      </c>
      <c r="Z83" s="114">
        <f>IF(AND($A83&lt;&gt;"",F83&lt;&gt;"הושלם",F83&lt;&gt;"בוטל",OR(ISNUMBER(SEARCH("תמר",D83)))),IF(K83="",99999,K83)+ROW()/100000,"")</f>
        <v/>
      </c>
      <c r="AA83" s="114">
        <f>IF(AND($A83&lt;&gt;"",F83&lt;&gt;"הושלם",F83&lt;&gt;"בוטל",NOT(ISNUMBER(SEARCH("אריאל",D83))),NOT(ISNUMBER(SEARCH("רינת",D83))),NOT(ISNUMBER(SEARCH("תמר",D83))),D83&lt;&gt;"כל המשפחה"),IF(K83="",99999,K83)+ROW()/100000,"")</f>
        <v/>
      </c>
    </row>
    <row r="84">
      <c r="A84" s="104" t="n"/>
      <c r="B84" s="105" t="n"/>
      <c r="C84" s="106" t="n"/>
      <c r="D84" s="105" t="n"/>
      <c r="E84" s="107" t="n"/>
      <c r="F84" s="107" t="n"/>
      <c r="G84" s="108">
        <f>IF($A84="","",IF(AND(F84&lt;&gt;"הושלם",F84&lt;&gt;"בוטל",K84&lt;&gt;"",K84&lt;Today_),"באיחור",IF(F84="","לא התחיל",F84)))</f>
        <v/>
      </c>
      <c r="H84" s="109" t="n"/>
      <c r="I84" s="110">
        <f>IF($A84="","",IF(H84&lt;&gt;"",H84,IF(F84="הושלם",1,IF(F84="בתהליך",0.5,IF(OR(F84="ממתין",F84="תקוע"),0.25,0)))))</f>
        <v/>
      </c>
      <c r="J84" s="111">
        <f>IF(OR($A84="",O84=""),"",IF(AND(N84="K",KeyActual&lt;&gt;""),O84+(KeyActual-KeyA),IF(Scenario="B",IF(Q84="",O84,Q84),O84)))</f>
        <v/>
      </c>
      <c r="K84" s="111">
        <f>IF(OR($A84="",P84=""),"",IF(AND(N84="K",KeyActual&lt;&gt;""),P84+(KeyActual-KeyA),IF(Scenario="B",IF(R84="",P84,R84),P84)))</f>
        <v/>
      </c>
      <c r="L84" s="112">
        <f>IF(OR($A84="",K84=""),"",IF(OR(F84="הושלם",F84="בוטל"),"",K84-Today_))</f>
        <v/>
      </c>
      <c r="M84" s="105" t="n"/>
      <c r="N84" s="108" t="n"/>
      <c r="O84" s="113" t="n"/>
      <c r="P84" s="113" t="n"/>
      <c r="Q84" s="113" t="n"/>
      <c r="R84" s="113" t="n"/>
      <c r="S84" s="105" t="n"/>
      <c r="T84" s="105" t="n"/>
      <c r="U84" s="105" t="n"/>
      <c r="V84" s="114">
        <f>IF(AND($A84&lt;&gt;"",F84&lt;&gt;"הושלם",F84&lt;&gt;"בוטל",J84&lt;&gt;""),IF(J84&lt;=Today_+14,IF(K84="",99999,K84)+ROW()/100000,""),"")</f>
        <v/>
      </c>
      <c r="W84" s="114">
        <f>IFERROR(IF($A84="","",CHOOSE(MATCH(G84,{"לא התחיל","בתהליך","ממתין","תקוע","באיחור","הושלם","בוטל"},0),1,2,3,3,4,5,6)*100000+IF(K84="",99999,K84)+ROW()/1000000),"")</f>
        <v/>
      </c>
      <c r="X84" s="114">
        <f>IF(AND($A84&lt;&gt;"",F84&lt;&gt;"הושלם",F84&lt;&gt;"בוטל",OR(ISNUMBER(SEARCH("אריאל",D84)),D84="כל המשפחה")),IF(K84="",99999,K84)+ROW()/100000,"")</f>
        <v/>
      </c>
      <c r="Y84" s="114">
        <f>IF(AND($A84&lt;&gt;"",F84&lt;&gt;"הושלם",F84&lt;&gt;"בוטל",OR(ISNUMBER(SEARCH("רינת",D84)),D84="כל המשפחה")),IF(K84="",99999,K84)+ROW()/100000,"")</f>
        <v/>
      </c>
      <c r="Z84" s="114">
        <f>IF(AND($A84&lt;&gt;"",F84&lt;&gt;"הושלם",F84&lt;&gt;"בוטל",OR(ISNUMBER(SEARCH("תמר",D84)))),IF(K84="",99999,K84)+ROW()/100000,"")</f>
        <v/>
      </c>
      <c r="AA84" s="114">
        <f>IF(AND($A84&lt;&gt;"",F84&lt;&gt;"הושלם",F84&lt;&gt;"בוטל",NOT(ISNUMBER(SEARCH("אריאל",D84))),NOT(ISNUMBER(SEARCH("רינת",D84))),NOT(ISNUMBER(SEARCH("תמר",D84))),D84&lt;&gt;"כל המשפחה"),IF(K84="",99999,K84)+ROW()/100000,"")</f>
        <v/>
      </c>
    </row>
    <row r="85">
      <c r="A85" s="104" t="n"/>
      <c r="B85" s="105" t="n"/>
      <c r="C85" s="106" t="n"/>
      <c r="D85" s="105" t="n"/>
      <c r="E85" s="107" t="n"/>
      <c r="F85" s="107" t="n"/>
      <c r="G85" s="108">
        <f>IF($A85="","",IF(AND(F85&lt;&gt;"הושלם",F85&lt;&gt;"בוטל",K85&lt;&gt;"",K85&lt;Today_),"באיחור",IF(F85="","לא התחיל",F85)))</f>
        <v/>
      </c>
      <c r="H85" s="109" t="n"/>
      <c r="I85" s="110">
        <f>IF($A85="","",IF(H85&lt;&gt;"",H85,IF(F85="הושלם",1,IF(F85="בתהליך",0.5,IF(OR(F85="ממתין",F85="תקוע"),0.25,0)))))</f>
        <v/>
      </c>
      <c r="J85" s="111">
        <f>IF(OR($A85="",O85=""),"",IF(AND(N85="K",KeyActual&lt;&gt;""),O85+(KeyActual-KeyA),IF(Scenario="B",IF(Q85="",O85,Q85),O85)))</f>
        <v/>
      </c>
      <c r="K85" s="111">
        <f>IF(OR($A85="",P85=""),"",IF(AND(N85="K",KeyActual&lt;&gt;""),P85+(KeyActual-KeyA),IF(Scenario="B",IF(R85="",P85,R85),P85)))</f>
        <v/>
      </c>
      <c r="L85" s="112">
        <f>IF(OR($A85="",K85=""),"",IF(OR(F85="הושלם",F85="בוטל"),"",K85-Today_))</f>
        <v/>
      </c>
      <c r="M85" s="105" t="n"/>
      <c r="N85" s="108" t="n"/>
      <c r="O85" s="113" t="n"/>
      <c r="P85" s="113" t="n"/>
      <c r="Q85" s="113" t="n"/>
      <c r="R85" s="113" t="n"/>
      <c r="S85" s="105" t="n"/>
      <c r="T85" s="105" t="n"/>
      <c r="U85" s="105" t="n"/>
      <c r="V85" s="114">
        <f>IF(AND($A85&lt;&gt;"",F85&lt;&gt;"הושלם",F85&lt;&gt;"בוטל",J85&lt;&gt;""),IF(J85&lt;=Today_+14,IF(K85="",99999,K85)+ROW()/100000,""),"")</f>
        <v/>
      </c>
      <c r="W85" s="114">
        <f>IFERROR(IF($A85="","",CHOOSE(MATCH(G85,{"לא התחיל","בתהליך","ממתין","תקוע","באיחור","הושלם","בוטל"},0),1,2,3,3,4,5,6)*100000+IF(K85="",99999,K85)+ROW()/1000000),"")</f>
        <v/>
      </c>
      <c r="X85" s="114">
        <f>IF(AND($A85&lt;&gt;"",F85&lt;&gt;"הושלם",F85&lt;&gt;"בוטל",OR(ISNUMBER(SEARCH("אריאל",D85)),D85="כל המשפחה")),IF(K85="",99999,K85)+ROW()/100000,"")</f>
        <v/>
      </c>
      <c r="Y85" s="114">
        <f>IF(AND($A85&lt;&gt;"",F85&lt;&gt;"הושלם",F85&lt;&gt;"בוטל",OR(ISNUMBER(SEARCH("רינת",D85)),D85="כל המשפחה")),IF(K85="",99999,K85)+ROW()/100000,"")</f>
        <v/>
      </c>
      <c r="Z85" s="114">
        <f>IF(AND($A85&lt;&gt;"",F85&lt;&gt;"הושלם",F85&lt;&gt;"בוטל",OR(ISNUMBER(SEARCH("תמר",D85)))),IF(K85="",99999,K85)+ROW()/100000,"")</f>
        <v/>
      </c>
      <c r="AA85" s="114">
        <f>IF(AND($A85&lt;&gt;"",F85&lt;&gt;"הושלם",F85&lt;&gt;"בוטל",NOT(ISNUMBER(SEARCH("אריאל",D85))),NOT(ISNUMBER(SEARCH("רינת",D85))),NOT(ISNUMBER(SEARCH("תמר",D85))),D85&lt;&gt;"כל המשפחה"),IF(K85="",99999,K85)+ROW()/100000,"")</f>
        <v/>
      </c>
    </row>
    <row r="86">
      <c r="A86" s="104" t="n"/>
      <c r="B86" s="105" t="n"/>
      <c r="C86" s="106" t="n"/>
      <c r="D86" s="105" t="n"/>
      <c r="E86" s="107" t="n"/>
      <c r="F86" s="107" t="n"/>
      <c r="G86" s="108">
        <f>IF($A86="","",IF(AND(F86&lt;&gt;"הושלם",F86&lt;&gt;"בוטל",K86&lt;&gt;"",K86&lt;Today_),"באיחור",IF(F86="","לא התחיל",F86)))</f>
        <v/>
      </c>
      <c r="H86" s="109" t="n"/>
      <c r="I86" s="110">
        <f>IF($A86="","",IF(H86&lt;&gt;"",H86,IF(F86="הושלם",1,IF(F86="בתהליך",0.5,IF(OR(F86="ממתין",F86="תקוע"),0.25,0)))))</f>
        <v/>
      </c>
      <c r="J86" s="111">
        <f>IF(OR($A86="",O86=""),"",IF(AND(N86="K",KeyActual&lt;&gt;""),O86+(KeyActual-KeyA),IF(Scenario="B",IF(Q86="",O86,Q86),O86)))</f>
        <v/>
      </c>
      <c r="K86" s="111">
        <f>IF(OR($A86="",P86=""),"",IF(AND(N86="K",KeyActual&lt;&gt;""),P86+(KeyActual-KeyA),IF(Scenario="B",IF(R86="",P86,R86),P86)))</f>
        <v/>
      </c>
      <c r="L86" s="112">
        <f>IF(OR($A86="",K86=""),"",IF(OR(F86="הושלם",F86="בוטל"),"",K86-Today_))</f>
        <v/>
      </c>
      <c r="M86" s="105" t="n"/>
      <c r="N86" s="108" t="n"/>
      <c r="O86" s="113" t="n"/>
      <c r="P86" s="113" t="n"/>
      <c r="Q86" s="113" t="n"/>
      <c r="R86" s="113" t="n"/>
      <c r="S86" s="105" t="n"/>
      <c r="T86" s="105" t="n"/>
      <c r="U86" s="105" t="n"/>
      <c r="V86" s="114">
        <f>IF(AND($A86&lt;&gt;"",F86&lt;&gt;"הושלם",F86&lt;&gt;"בוטל",J86&lt;&gt;""),IF(J86&lt;=Today_+14,IF(K86="",99999,K86)+ROW()/100000,""),"")</f>
        <v/>
      </c>
      <c r="W86" s="114">
        <f>IFERROR(IF($A86="","",CHOOSE(MATCH(G86,{"לא התחיל","בתהליך","ממתין","תקוע","באיחור","הושלם","בוטל"},0),1,2,3,3,4,5,6)*100000+IF(K86="",99999,K86)+ROW()/1000000),"")</f>
        <v/>
      </c>
      <c r="X86" s="114">
        <f>IF(AND($A86&lt;&gt;"",F86&lt;&gt;"הושלם",F86&lt;&gt;"בוטל",OR(ISNUMBER(SEARCH("אריאל",D86)),D86="כל המשפחה")),IF(K86="",99999,K86)+ROW()/100000,"")</f>
        <v/>
      </c>
      <c r="Y86" s="114">
        <f>IF(AND($A86&lt;&gt;"",F86&lt;&gt;"הושלם",F86&lt;&gt;"בוטל",OR(ISNUMBER(SEARCH("רינת",D86)),D86="כל המשפחה")),IF(K86="",99999,K86)+ROW()/100000,"")</f>
        <v/>
      </c>
      <c r="Z86" s="114">
        <f>IF(AND($A86&lt;&gt;"",F86&lt;&gt;"הושלם",F86&lt;&gt;"בוטל",OR(ISNUMBER(SEARCH("תמר",D86)))),IF(K86="",99999,K86)+ROW()/100000,"")</f>
        <v/>
      </c>
      <c r="AA86" s="114">
        <f>IF(AND($A86&lt;&gt;"",F86&lt;&gt;"הושלם",F86&lt;&gt;"בוטל",NOT(ISNUMBER(SEARCH("אריאל",D86))),NOT(ISNUMBER(SEARCH("רינת",D86))),NOT(ISNUMBER(SEARCH("תמר",D86))),D86&lt;&gt;"כל המשפחה"),IF(K86="",99999,K86)+ROW()/100000,"")</f>
        <v/>
      </c>
    </row>
    <row r="87">
      <c r="A87" s="104" t="n"/>
      <c r="B87" s="105" t="n"/>
      <c r="C87" s="106" t="n"/>
      <c r="D87" s="105" t="n"/>
      <c r="E87" s="107" t="n"/>
      <c r="F87" s="107" t="n"/>
      <c r="G87" s="108">
        <f>IF($A87="","",IF(AND(F87&lt;&gt;"הושלם",F87&lt;&gt;"בוטל",K87&lt;&gt;"",K87&lt;Today_),"באיחור",IF(F87="","לא התחיל",F87)))</f>
        <v/>
      </c>
      <c r="H87" s="109" t="n"/>
      <c r="I87" s="110">
        <f>IF($A87="","",IF(H87&lt;&gt;"",H87,IF(F87="הושלם",1,IF(F87="בתהליך",0.5,IF(OR(F87="ממתין",F87="תקוע"),0.25,0)))))</f>
        <v/>
      </c>
      <c r="J87" s="111">
        <f>IF(OR($A87="",O87=""),"",IF(AND(N87="K",KeyActual&lt;&gt;""),O87+(KeyActual-KeyA),IF(Scenario="B",IF(Q87="",O87,Q87),O87)))</f>
        <v/>
      </c>
      <c r="K87" s="111">
        <f>IF(OR($A87="",P87=""),"",IF(AND(N87="K",KeyActual&lt;&gt;""),P87+(KeyActual-KeyA),IF(Scenario="B",IF(R87="",P87,R87),P87)))</f>
        <v/>
      </c>
      <c r="L87" s="112">
        <f>IF(OR($A87="",K87=""),"",IF(OR(F87="הושלם",F87="בוטל"),"",K87-Today_))</f>
        <v/>
      </c>
      <c r="M87" s="105" t="n"/>
      <c r="N87" s="108" t="n"/>
      <c r="O87" s="113" t="n"/>
      <c r="P87" s="113" t="n"/>
      <c r="Q87" s="113" t="n"/>
      <c r="R87" s="113" t="n"/>
      <c r="S87" s="105" t="n"/>
      <c r="T87" s="105" t="n"/>
      <c r="U87" s="105" t="n"/>
      <c r="V87" s="114">
        <f>IF(AND($A87&lt;&gt;"",F87&lt;&gt;"הושלם",F87&lt;&gt;"בוטל",J87&lt;&gt;""),IF(J87&lt;=Today_+14,IF(K87="",99999,K87)+ROW()/100000,""),"")</f>
        <v/>
      </c>
      <c r="W87" s="114">
        <f>IFERROR(IF($A87="","",CHOOSE(MATCH(G87,{"לא התחיל","בתהליך","ממתין","תקוע","באיחור","הושלם","בוטל"},0),1,2,3,3,4,5,6)*100000+IF(K87="",99999,K87)+ROW()/1000000),"")</f>
        <v/>
      </c>
      <c r="X87" s="114">
        <f>IF(AND($A87&lt;&gt;"",F87&lt;&gt;"הושלם",F87&lt;&gt;"בוטל",OR(ISNUMBER(SEARCH("אריאל",D87)),D87="כל המשפחה")),IF(K87="",99999,K87)+ROW()/100000,"")</f>
        <v/>
      </c>
      <c r="Y87" s="114">
        <f>IF(AND($A87&lt;&gt;"",F87&lt;&gt;"הושלם",F87&lt;&gt;"בוטל",OR(ISNUMBER(SEARCH("רינת",D87)),D87="כל המשפחה")),IF(K87="",99999,K87)+ROW()/100000,"")</f>
        <v/>
      </c>
      <c r="Z87" s="114">
        <f>IF(AND($A87&lt;&gt;"",F87&lt;&gt;"הושלם",F87&lt;&gt;"בוטל",OR(ISNUMBER(SEARCH("תמר",D87)))),IF(K87="",99999,K87)+ROW()/100000,"")</f>
        <v/>
      </c>
      <c r="AA87" s="114">
        <f>IF(AND($A87&lt;&gt;"",F87&lt;&gt;"הושלם",F87&lt;&gt;"בוטל",NOT(ISNUMBER(SEARCH("אריאל",D87))),NOT(ISNUMBER(SEARCH("רינת",D87))),NOT(ISNUMBER(SEARCH("תמר",D87))),D87&lt;&gt;"כל המשפחה"),IF(K87="",99999,K87)+ROW()/100000,"")</f>
        <v/>
      </c>
    </row>
    <row r="88">
      <c r="A88" s="104" t="n"/>
      <c r="B88" s="105" t="n"/>
      <c r="C88" s="106" t="n"/>
      <c r="D88" s="105" t="n"/>
      <c r="E88" s="107" t="n"/>
      <c r="F88" s="107" t="n"/>
      <c r="G88" s="108">
        <f>IF($A88="","",IF(AND(F88&lt;&gt;"הושלם",F88&lt;&gt;"בוטל",K88&lt;&gt;"",K88&lt;Today_),"באיחור",IF(F88="","לא התחיל",F88)))</f>
        <v/>
      </c>
      <c r="H88" s="109" t="n"/>
      <c r="I88" s="110">
        <f>IF($A88="","",IF(H88&lt;&gt;"",H88,IF(F88="הושלם",1,IF(F88="בתהליך",0.5,IF(OR(F88="ממתין",F88="תקוע"),0.25,0)))))</f>
        <v/>
      </c>
      <c r="J88" s="111">
        <f>IF(OR($A88="",O88=""),"",IF(AND(N88="K",KeyActual&lt;&gt;""),O88+(KeyActual-KeyA),IF(Scenario="B",IF(Q88="",O88,Q88),O88)))</f>
        <v/>
      </c>
      <c r="K88" s="111">
        <f>IF(OR($A88="",P88=""),"",IF(AND(N88="K",KeyActual&lt;&gt;""),P88+(KeyActual-KeyA),IF(Scenario="B",IF(R88="",P88,R88),P88)))</f>
        <v/>
      </c>
      <c r="L88" s="112">
        <f>IF(OR($A88="",K88=""),"",IF(OR(F88="הושלם",F88="בוטל"),"",K88-Today_))</f>
        <v/>
      </c>
      <c r="M88" s="105" t="n"/>
      <c r="N88" s="108" t="n"/>
      <c r="O88" s="113" t="n"/>
      <c r="P88" s="113" t="n"/>
      <c r="Q88" s="113" t="n"/>
      <c r="R88" s="113" t="n"/>
      <c r="S88" s="105" t="n"/>
      <c r="T88" s="105" t="n"/>
      <c r="U88" s="105" t="n"/>
      <c r="V88" s="114">
        <f>IF(AND($A88&lt;&gt;"",F88&lt;&gt;"הושלם",F88&lt;&gt;"בוטל",J88&lt;&gt;""),IF(J88&lt;=Today_+14,IF(K88="",99999,K88)+ROW()/100000,""),"")</f>
        <v/>
      </c>
      <c r="W88" s="114">
        <f>IFERROR(IF($A88="","",CHOOSE(MATCH(G88,{"לא התחיל","בתהליך","ממתין","תקוע","באיחור","הושלם","בוטל"},0),1,2,3,3,4,5,6)*100000+IF(K88="",99999,K88)+ROW()/1000000),"")</f>
        <v/>
      </c>
      <c r="X88" s="114">
        <f>IF(AND($A88&lt;&gt;"",F88&lt;&gt;"הושלם",F88&lt;&gt;"בוטל",OR(ISNUMBER(SEARCH("אריאל",D88)),D88="כל המשפחה")),IF(K88="",99999,K88)+ROW()/100000,"")</f>
        <v/>
      </c>
      <c r="Y88" s="114">
        <f>IF(AND($A88&lt;&gt;"",F88&lt;&gt;"הושלם",F88&lt;&gt;"בוטל",OR(ISNUMBER(SEARCH("רינת",D88)),D88="כל המשפחה")),IF(K88="",99999,K88)+ROW()/100000,"")</f>
        <v/>
      </c>
      <c r="Z88" s="114">
        <f>IF(AND($A88&lt;&gt;"",F88&lt;&gt;"הושלם",F88&lt;&gt;"בוטל",OR(ISNUMBER(SEARCH("תמר",D88)))),IF(K88="",99999,K88)+ROW()/100000,"")</f>
        <v/>
      </c>
      <c r="AA88" s="114">
        <f>IF(AND($A88&lt;&gt;"",F88&lt;&gt;"הושלם",F88&lt;&gt;"בוטל",NOT(ISNUMBER(SEARCH("אריאל",D88))),NOT(ISNUMBER(SEARCH("רינת",D88))),NOT(ISNUMBER(SEARCH("תמר",D88))),D88&lt;&gt;"כל המשפחה"),IF(K88="",99999,K88)+ROW()/100000,"")</f>
        <v/>
      </c>
    </row>
    <row r="89">
      <c r="A89" s="104" t="n"/>
      <c r="B89" s="105" t="n"/>
      <c r="C89" s="106" t="n"/>
      <c r="D89" s="105" t="n"/>
      <c r="E89" s="107" t="n"/>
      <c r="F89" s="107" t="n"/>
      <c r="G89" s="108">
        <f>IF($A89="","",IF(AND(F89&lt;&gt;"הושלם",F89&lt;&gt;"בוטל",K89&lt;&gt;"",K89&lt;Today_),"באיחור",IF(F89="","לא התחיל",F89)))</f>
        <v/>
      </c>
      <c r="H89" s="109" t="n"/>
      <c r="I89" s="110">
        <f>IF($A89="","",IF(H89&lt;&gt;"",H89,IF(F89="הושלם",1,IF(F89="בתהליך",0.5,IF(OR(F89="ממתין",F89="תקוע"),0.25,0)))))</f>
        <v/>
      </c>
      <c r="J89" s="111">
        <f>IF(OR($A89="",O89=""),"",IF(AND(N89="K",KeyActual&lt;&gt;""),O89+(KeyActual-KeyA),IF(Scenario="B",IF(Q89="",O89,Q89),O89)))</f>
        <v/>
      </c>
      <c r="K89" s="111">
        <f>IF(OR($A89="",P89=""),"",IF(AND(N89="K",KeyActual&lt;&gt;""),P89+(KeyActual-KeyA),IF(Scenario="B",IF(R89="",P89,R89),P89)))</f>
        <v/>
      </c>
      <c r="L89" s="112">
        <f>IF(OR($A89="",K89=""),"",IF(OR(F89="הושלם",F89="בוטל"),"",K89-Today_))</f>
        <v/>
      </c>
      <c r="M89" s="105" t="n"/>
      <c r="N89" s="108" t="n"/>
      <c r="O89" s="113" t="n"/>
      <c r="P89" s="113" t="n"/>
      <c r="Q89" s="113" t="n"/>
      <c r="R89" s="113" t="n"/>
      <c r="S89" s="105" t="n"/>
      <c r="T89" s="105" t="n"/>
      <c r="U89" s="105" t="n"/>
      <c r="V89" s="114">
        <f>IF(AND($A89&lt;&gt;"",F89&lt;&gt;"הושלם",F89&lt;&gt;"בוטל",J89&lt;&gt;""),IF(J89&lt;=Today_+14,IF(K89="",99999,K89)+ROW()/100000,""),"")</f>
        <v/>
      </c>
      <c r="W89" s="114">
        <f>IFERROR(IF($A89="","",CHOOSE(MATCH(G89,{"לא התחיל","בתהליך","ממתין","תקוע","באיחור","הושלם","בוטל"},0),1,2,3,3,4,5,6)*100000+IF(K89="",99999,K89)+ROW()/1000000),"")</f>
        <v/>
      </c>
      <c r="X89" s="114">
        <f>IF(AND($A89&lt;&gt;"",F89&lt;&gt;"הושלם",F89&lt;&gt;"בוטל",OR(ISNUMBER(SEARCH("אריאל",D89)),D89="כל המשפחה")),IF(K89="",99999,K89)+ROW()/100000,"")</f>
        <v/>
      </c>
      <c r="Y89" s="114">
        <f>IF(AND($A89&lt;&gt;"",F89&lt;&gt;"הושלם",F89&lt;&gt;"בוטל",OR(ISNUMBER(SEARCH("רינת",D89)),D89="כל המשפחה")),IF(K89="",99999,K89)+ROW()/100000,"")</f>
        <v/>
      </c>
      <c r="Z89" s="114">
        <f>IF(AND($A89&lt;&gt;"",F89&lt;&gt;"הושלם",F89&lt;&gt;"בוטל",OR(ISNUMBER(SEARCH("תמר",D89)))),IF(K89="",99999,K89)+ROW()/100000,"")</f>
        <v/>
      </c>
      <c r="AA89" s="114">
        <f>IF(AND($A89&lt;&gt;"",F89&lt;&gt;"הושלם",F89&lt;&gt;"בוטל",NOT(ISNUMBER(SEARCH("אריאל",D89))),NOT(ISNUMBER(SEARCH("רינת",D89))),NOT(ISNUMBER(SEARCH("תמר",D89))),D89&lt;&gt;"כל המשפחה"),IF(K89="",99999,K89)+ROW()/100000,"")</f>
        <v/>
      </c>
    </row>
    <row r="90">
      <c r="A90" s="104" t="n"/>
      <c r="B90" s="105" t="n"/>
      <c r="C90" s="106" t="n"/>
      <c r="D90" s="105" t="n"/>
      <c r="E90" s="107" t="n"/>
      <c r="F90" s="107" t="n"/>
      <c r="G90" s="108">
        <f>IF($A90="","",IF(AND(F90&lt;&gt;"הושלם",F90&lt;&gt;"בוטל",K90&lt;&gt;"",K90&lt;Today_),"באיחור",IF(F90="","לא התחיל",F90)))</f>
        <v/>
      </c>
      <c r="H90" s="109" t="n"/>
      <c r="I90" s="110">
        <f>IF($A90="","",IF(H90&lt;&gt;"",H90,IF(F90="הושלם",1,IF(F90="בתהליך",0.5,IF(OR(F90="ממתין",F90="תקוע"),0.25,0)))))</f>
        <v/>
      </c>
      <c r="J90" s="111">
        <f>IF(OR($A90="",O90=""),"",IF(AND(N90="K",KeyActual&lt;&gt;""),O90+(KeyActual-KeyA),IF(Scenario="B",IF(Q90="",O90,Q90),O90)))</f>
        <v/>
      </c>
      <c r="K90" s="111">
        <f>IF(OR($A90="",P90=""),"",IF(AND(N90="K",KeyActual&lt;&gt;""),P90+(KeyActual-KeyA),IF(Scenario="B",IF(R90="",P90,R90),P90)))</f>
        <v/>
      </c>
      <c r="L90" s="112">
        <f>IF(OR($A90="",K90=""),"",IF(OR(F90="הושלם",F90="בוטל"),"",K90-Today_))</f>
        <v/>
      </c>
      <c r="M90" s="105" t="n"/>
      <c r="N90" s="108" t="n"/>
      <c r="O90" s="113" t="n"/>
      <c r="P90" s="113" t="n"/>
      <c r="Q90" s="113" t="n"/>
      <c r="R90" s="113" t="n"/>
      <c r="S90" s="105" t="n"/>
      <c r="T90" s="105" t="n"/>
      <c r="U90" s="105" t="n"/>
      <c r="V90" s="114">
        <f>IF(AND($A90&lt;&gt;"",F90&lt;&gt;"הושלם",F90&lt;&gt;"בוטל",J90&lt;&gt;""),IF(J90&lt;=Today_+14,IF(K90="",99999,K90)+ROW()/100000,""),"")</f>
        <v/>
      </c>
      <c r="W90" s="114">
        <f>IFERROR(IF($A90="","",CHOOSE(MATCH(G90,{"לא התחיל","בתהליך","ממתין","תקוע","באיחור","הושלם","בוטל"},0),1,2,3,3,4,5,6)*100000+IF(K90="",99999,K90)+ROW()/1000000),"")</f>
        <v/>
      </c>
      <c r="X90" s="114">
        <f>IF(AND($A90&lt;&gt;"",F90&lt;&gt;"הושלם",F90&lt;&gt;"בוטל",OR(ISNUMBER(SEARCH("אריאל",D90)),D90="כל המשפחה")),IF(K90="",99999,K90)+ROW()/100000,"")</f>
        <v/>
      </c>
      <c r="Y90" s="114">
        <f>IF(AND($A90&lt;&gt;"",F90&lt;&gt;"הושלם",F90&lt;&gt;"בוטל",OR(ISNUMBER(SEARCH("רינת",D90)),D90="כל המשפחה")),IF(K90="",99999,K90)+ROW()/100000,"")</f>
        <v/>
      </c>
      <c r="Z90" s="114">
        <f>IF(AND($A90&lt;&gt;"",F90&lt;&gt;"הושלם",F90&lt;&gt;"בוטל",OR(ISNUMBER(SEARCH("תמר",D90)))),IF(K90="",99999,K90)+ROW()/100000,"")</f>
        <v/>
      </c>
      <c r="AA90" s="114">
        <f>IF(AND($A90&lt;&gt;"",F90&lt;&gt;"הושלם",F90&lt;&gt;"בוטל",NOT(ISNUMBER(SEARCH("אריאל",D90))),NOT(ISNUMBER(SEARCH("רינת",D90))),NOT(ISNUMBER(SEARCH("תמר",D90))),D90&lt;&gt;"כל המשפחה"),IF(K90="",99999,K90)+ROW()/100000,"")</f>
        <v/>
      </c>
    </row>
    <row r="91">
      <c r="A91" s="104" t="n"/>
      <c r="B91" s="105" t="n"/>
      <c r="C91" s="106" t="n"/>
      <c r="D91" s="105" t="n"/>
      <c r="E91" s="107" t="n"/>
      <c r="F91" s="107" t="n"/>
      <c r="G91" s="108">
        <f>IF($A91="","",IF(AND(F91&lt;&gt;"הושלם",F91&lt;&gt;"בוטל",K91&lt;&gt;"",K91&lt;Today_),"באיחור",IF(F91="","לא התחיל",F91)))</f>
        <v/>
      </c>
      <c r="H91" s="109" t="n"/>
      <c r="I91" s="110">
        <f>IF($A91="","",IF(H91&lt;&gt;"",H91,IF(F91="הושלם",1,IF(F91="בתהליך",0.5,IF(OR(F91="ממתין",F91="תקוע"),0.25,0)))))</f>
        <v/>
      </c>
      <c r="J91" s="111">
        <f>IF(OR($A91="",O91=""),"",IF(AND(N91="K",KeyActual&lt;&gt;""),O91+(KeyActual-KeyA),IF(Scenario="B",IF(Q91="",O91,Q91),O91)))</f>
        <v/>
      </c>
      <c r="K91" s="111">
        <f>IF(OR($A91="",P91=""),"",IF(AND(N91="K",KeyActual&lt;&gt;""),P91+(KeyActual-KeyA),IF(Scenario="B",IF(R91="",P91,R91),P91)))</f>
        <v/>
      </c>
      <c r="L91" s="112">
        <f>IF(OR($A91="",K91=""),"",IF(OR(F91="הושלם",F91="בוטל"),"",K91-Today_))</f>
        <v/>
      </c>
      <c r="M91" s="105" t="n"/>
      <c r="N91" s="108" t="n"/>
      <c r="O91" s="113" t="n"/>
      <c r="P91" s="113" t="n"/>
      <c r="Q91" s="113" t="n"/>
      <c r="R91" s="113" t="n"/>
      <c r="S91" s="105" t="n"/>
      <c r="T91" s="105" t="n"/>
      <c r="U91" s="105" t="n"/>
      <c r="V91" s="114">
        <f>IF(AND($A91&lt;&gt;"",F91&lt;&gt;"הושלם",F91&lt;&gt;"בוטל",J91&lt;&gt;""),IF(J91&lt;=Today_+14,IF(K91="",99999,K91)+ROW()/100000,""),"")</f>
        <v/>
      </c>
      <c r="W91" s="114">
        <f>IFERROR(IF($A91="","",CHOOSE(MATCH(G91,{"לא התחיל","בתהליך","ממתין","תקוע","באיחור","הושלם","בוטל"},0),1,2,3,3,4,5,6)*100000+IF(K91="",99999,K91)+ROW()/1000000),"")</f>
        <v/>
      </c>
      <c r="X91" s="114">
        <f>IF(AND($A91&lt;&gt;"",F91&lt;&gt;"הושלם",F91&lt;&gt;"בוטל",OR(ISNUMBER(SEARCH("אריאל",D91)),D91="כל המשפחה")),IF(K91="",99999,K91)+ROW()/100000,"")</f>
        <v/>
      </c>
      <c r="Y91" s="114">
        <f>IF(AND($A91&lt;&gt;"",F91&lt;&gt;"הושלם",F91&lt;&gt;"בוטל",OR(ISNUMBER(SEARCH("רינת",D91)),D91="כל המשפחה")),IF(K91="",99999,K91)+ROW()/100000,"")</f>
        <v/>
      </c>
      <c r="Z91" s="114">
        <f>IF(AND($A91&lt;&gt;"",F91&lt;&gt;"הושלם",F91&lt;&gt;"בוטל",OR(ISNUMBER(SEARCH("תמר",D91)))),IF(K91="",99999,K91)+ROW()/100000,"")</f>
        <v/>
      </c>
      <c r="AA91" s="114">
        <f>IF(AND($A91&lt;&gt;"",F91&lt;&gt;"הושלם",F91&lt;&gt;"בוטל",NOT(ISNUMBER(SEARCH("אריאל",D91))),NOT(ISNUMBER(SEARCH("רינת",D91))),NOT(ISNUMBER(SEARCH("תמר",D91))),D91&lt;&gt;"כל המשפחה"),IF(K91="",99999,K91)+ROW()/100000,"")</f>
        <v/>
      </c>
    </row>
    <row r="92">
      <c r="A92" s="104" t="n"/>
      <c r="B92" s="105" t="n"/>
      <c r="C92" s="106" t="n"/>
      <c r="D92" s="105" t="n"/>
      <c r="E92" s="107" t="n"/>
      <c r="F92" s="107" t="n"/>
      <c r="G92" s="108">
        <f>IF($A92="","",IF(AND(F92&lt;&gt;"הושלם",F92&lt;&gt;"בוטל",K92&lt;&gt;"",K92&lt;Today_),"באיחור",IF(F92="","לא התחיל",F92)))</f>
        <v/>
      </c>
      <c r="H92" s="109" t="n"/>
      <c r="I92" s="110">
        <f>IF($A92="","",IF(H92&lt;&gt;"",H92,IF(F92="הושלם",1,IF(F92="בתהליך",0.5,IF(OR(F92="ממתין",F92="תקוע"),0.25,0)))))</f>
        <v/>
      </c>
      <c r="J92" s="111">
        <f>IF(OR($A92="",O92=""),"",IF(AND(N92="K",KeyActual&lt;&gt;""),O92+(KeyActual-KeyA),IF(Scenario="B",IF(Q92="",O92,Q92),O92)))</f>
        <v/>
      </c>
      <c r="K92" s="111">
        <f>IF(OR($A92="",P92=""),"",IF(AND(N92="K",KeyActual&lt;&gt;""),P92+(KeyActual-KeyA),IF(Scenario="B",IF(R92="",P92,R92),P92)))</f>
        <v/>
      </c>
      <c r="L92" s="112">
        <f>IF(OR($A92="",K92=""),"",IF(OR(F92="הושלם",F92="בוטל"),"",K92-Today_))</f>
        <v/>
      </c>
      <c r="M92" s="105" t="n"/>
      <c r="N92" s="108" t="n"/>
      <c r="O92" s="113" t="n"/>
      <c r="P92" s="113" t="n"/>
      <c r="Q92" s="113" t="n"/>
      <c r="R92" s="113" t="n"/>
      <c r="S92" s="105" t="n"/>
      <c r="T92" s="105" t="n"/>
      <c r="U92" s="105" t="n"/>
      <c r="V92" s="114">
        <f>IF(AND($A92&lt;&gt;"",F92&lt;&gt;"הושלם",F92&lt;&gt;"בוטל",J92&lt;&gt;""),IF(J92&lt;=Today_+14,IF(K92="",99999,K92)+ROW()/100000,""),"")</f>
        <v/>
      </c>
      <c r="W92" s="114">
        <f>IFERROR(IF($A92="","",CHOOSE(MATCH(G92,{"לא התחיל","בתהליך","ממתין","תקוע","באיחור","הושלם","בוטל"},0),1,2,3,3,4,5,6)*100000+IF(K92="",99999,K92)+ROW()/1000000),"")</f>
        <v/>
      </c>
      <c r="X92" s="114">
        <f>IF(AND($A92&lt;&gt;"",F92&lt;&gt;"הושלם",F92&lt;&gt;"בוטל",OR(ISNUMBER(SEARCH("אריאל",D92)),D92="כל המשפחה")),IF(K92="",99999,K92)+ROW()/100000,"")</f>
        <v/>
      </c>
      <c r="Y92" s="114">
        <f>IF(AND($A92&lt;&gt;"",F92&lt;&gt;"הושלם",F92&lt;&gt;"בוטל",OR(ISNUMBER(SEARCH("רינת",D92)),D92="כל המשפחה")),IF(K92="",99999,K92)+ROW()/100000,"")</f>
        <v/>
      </c>
      <c r="Z92" s="114">
        <f>IF(AND($A92&lt;&gt;"",F92&lt;&gt;"הושלם",F92&lt;&gt;"בוטל",OR(ISNUMBER(SEARCH("תמר",D92)))),IF(K92="",99999,K92)+ROW()/100000,"")</f>
        <v/>
      </c>
      <c r="AA92" s="114">
        <f>IF(AND($A92&lt;&gt;"",F92&lt;&gt;"הושלם",F92&lt;&gt;"בוטל",NOT(ISNUMBER(SEARCH("אריאל",D92))),NOT(ISNUMBER(SEARCH("רינת",D92))),NOT(ISNUMBER(SEARCH("תמר",D92))),D92&lt;&gt;"כל המשפחה"),IF(K92="",99999,K92)+ROW()/100000,"")</f>
        <v/>
      </c>
    </row>
    <row r="93">
      <c r="A93" s="104" t="n"/>
      <c r="B93" s="105" t="n"/>
      <c r="C93" s="106" t="n"/>
      <c r="D93" s="105" t="n"/>
      <c r="E93" s="107" t="n"/>
      <c r="F93" s="107" t="n"/>
      <c r="G93" s="108">
        <f>IF($A93="","",IF(AND(F93&lt;&gt;"הושלם",F93&lt;&gt;"בוטל",K93&lt;&gt;"",K93&lt;Today_),"באיחור",IF(F93="","לא התחיל",F93)))</f>
        <v/>
      </c>
      <c r="H93" s="109" t="n"/>
      <c r="I93" s="110">
        <f>IF($A93="","",IF(H93&lt;&gt;"",H93,IF(F93="הושלם",1,IF(F93="בתהליך",0.5,IF(OR(F93="ממתין",F93="תקוע"),0.25,0)))))</f>
        <v/>
      </c>
      <c r="J93" s="111">
        <f>IF(OR($A93="",O93=""),"",IF(AND(N93="K",KeyActual&lt;&gt;""),O93+(KeyActual-KeyA),IF(Scenario="B",IF(Q93="",O93,Q93),O93)))</f>
        <v/>
      </c>
      <c r="K93" s="111">
        <f>IF(OR($A93="",P93=""),"",IF(AND(N93="K",KeyActual&lt;&gt;""),P93+(KeyActual-KeyA),IF(Scenario="B",IF(R93="",P93,R93),P93)))</f>
        <v/>
      </c>
      <c r="L93" s="112">
        <f>IF(OR($A93="",K93=""),"",IF(OR(F93="הושלם",F93="בוטל"),"",K93-Today_))</f>
        <v/>
      </c>
      <c r="M93" s="105" t="n"/>
      <c r="N93" s="108" t="n"/>
      <c r="O93" s="113" t="n"/>
      <c r="P93" s="113" t="n"/>
      <c r="Q93" s="113" t="n"/>
      <c r="R93" s="113" t="n"/>
      <c r="S93" s="105" t="n"/>
      <c r="T93" s="105" t="n"/>
      <c r="U93" s="105" t="n"/>
      <c r="V93" s="114">
        <f>IF(AND($A93&lt;&gt;"",F93&lt;&gt;"הושלם",F93&lt;&gt;"בוטל",J93&lt;&gt;""),IF(J93&lt;=Today_+14,IF(K93="",99999,K93)+ROW()/100000,""),"")</f>
        <v/>
      </c>
      <c r="W93" s="114">
        <f>IFERROR(IF($A93="","",CHOOSE(MATCH(G93,{"לא התחיל","בתהליך","ממתין","תקוע","באיחור","הושלם","בוטל"},0),1,2,3,3,4,5,6)*100000+IF(K93="",99999,K93)+ROW()/1000000),"")</f>
        <v/>
      </c>
      <c r="X93" s="114">
        <f>IF(AND($A93&lt;&gt;"",F93&lt;&gt;"הושלם",F93&lt;&gt;"בוטל",OR(ISNUMBER(SEARCH("אריאל",D93)),D93="כל המשפחה")),IF(K93="",99999,K93)+ROW()/100000,"")</f>
        <v/>
      </c>
      <c r="Y93" s="114">
        <f>IF(AND($A93&lt;&gt;"",F93&lt;&gt;"הושלם",F93&lt;&gt;"בוטל",OR(ISNUMBER(SEARCH("רינת",D93)),D93="כל המשפחה")),IF(K93="",99999,K93)+ROW()/100000,"")</f>
        <v/>
      </c>
      <c r="Z93" s="114">
        <f>IF(AND($A93&lt;&gt;"",F93&lt;&gt;"הושלם",F93&lt;&gt;"בוטל",OR(ISNUMBER(SEARCH("תמר",D93)))),IF(K93="",99999,K93)+ROW()/100000,"")</f>
        <v/>
      </c>
      <c r="AA93" s="114">
        <f>IF(AND($A93&lt;&gt;"",F93&lt;&gt;"הושלם",F93&lt;&gt;"בוטל",NOT(ISNUMBER(SEARCH("אריאל",D93))),NOT(ISNUMBER(SEARCH("רינת",D93))),NOT(ISNUMBER(SEARCH("תמר",D93))),D93&lt;&gt;"כל המשפחה"),IF(K93="",99999,K93)+ROW()/100000,"")</f>
        <v/>
      </c>
    </row>
    <row r="94">
      <c r="A94" s="104" t="n"/>
      <c r="B94" s="105" t="n"/>
      <c r="C94" s="106" t="n"/>
      <c r="D94" s="105" t="n"/>
      <c r="E94" s="107" t="n"/>
      <c r="F94" s="107" t="n"/>
      <c r="G94" s="108">
        <f>IF($A94="","",IF(AND(F94&lt;&gt;"הושלם",F94&lt;&gt;"בוטל",K94&lt;&gt;"",K94&lt;Today_),"באיחור",IF(F94="","לא התחיל",F94)))</f>
        <v/>
      </c>
      <c r="H94" s="109" t="n"/>
      <c r="I94" s="110">
        <f>IF($A94="","",IF(H94&lt;&gt;"",H94,IF(F94="הושלם",1,IF(F94="בתהליך",0.5,IF(OR(F94="ממתין",F94="תקוע"),0.25,0)))))</f>
        <v/>
      </c>
      <c r="J94" s="111">
        <f>IF(OR($A94="",O94=""),"",IF(AND(N94="K",KeyActual&lt;&gt;""),O94+(KeyActual-KeyA),IF(Scenario="B",IF(Q94="",O94,Q94),O94)))</f>
        <v/>
      </c>
      <c r="K94" s="111">
        <f>IF(OR($A94="",P94=""),"",IF(AND(N94="K",KeyActual&lt;&gt;""),P94+(KeyActual-KeyA),IF(Scenario="B",IF(R94="",P94,R94),P94)))</f>
        <v/>
      </c>
      <c r="L94" s="112">
        <f>IF(OR($A94="",K94=""),"",IF(OR(F94="הושלם",F94="בוטל"),"",K94-Today_))</f>
        <v/>
      </c>
      <c r="M94" s="105" t="n"/>
      <c r="N94" s="108" t="n"/>
      <c r="O94" s="113" t="n"/>
      <c r="P94" s="113" t="n"/>
      <c r="Q94" s="113" t="n"/>
      <c r="R94" s="113" t="n"/>
      <c r="S94" s="105" t="n"/>
      <c r="T94" s="105" t="n"/>
      <c r="U94" s="105" t="n"/>
      <c r="V94" s="114">
        <f>IF(AND($A94&lt;&gt;"",F94&lt;&gt;"הושלם",F94&lt;&gt;"בוטל",J94&lt;&gt;""),IF(J94&lt;=Today_+14,IF(K94="",99999,K94)+ROW()/100000,""),"")</f>
        <v/>
      </c>
      <c r="W94" s="114">
        <f>IFERROR(IF($A94="","",CHOOSE(MATCH(G94,{"לא התחיל","בתהליך","ממתין","תקוע","באיחור","הושלם","בוטל"},0),1,2,3,3,4,5,6)*100000+IF(K94="",99999,K94)+ROW()/1000000),"")</f>
        <v/>
      </c>
      <c r="X94" s="114">
        <f>IF(AND($A94&lt;&gt;"",F94&lt;&gt;"הושלם",F94&lt;&gt;"בוטל",OR(ISNUMBER(SEARCH("אריאל",D94)),D94="כל המשפחה")),IF(K94="",99999,K94)+ROW()/100000,"")</f>
        <v/>
      </c>
      <c r="Y94" s="114">
        <f>IF(AND($A94&lt;&gt;"",F94&lt;&gt;"הושלם",F94&lt;&gt;"בוטל",OR(ISNUMBER(SEARCH("רינת",D94)),D94="כל המשפחה")),IF(K94="",99999,K94)+ROW()/100000,"")</f>
        <v/>
      </c>
      <c r="Z94" s="114">
        <f>IF(AND($A94&lt;&gt;"",F94&lt;&gt;"הושלם",F94&lt;&gt;"בוטל",OR(ISNUMBER(SEARCH("תמר",D94)))),IF(K94="",99999,K94)+ROW()/100000,"")</f>
        <v/>
      </c>
      <c r="AA94" s="114">
        <f>IF(AND($A94&lt;&gt;"",F94&lt;&gt;"הושלם",F94&lt;&gt;"בוטל",NOT(ISNUMBER(SEARCH("אריאל",D94))),NOT(ISNUMBER(SEARCH("רינת",D94))),NOT(ISNUMBER(SEARCH("תמר",D94))),D94&lt;&gt;"כל המשפחה"),IF(K94="",99999,K94)+ROW()/100000,"")</f>
        <v/>
      </c>
    </row>
    <row r="95">
      <c r="A95" s="104" t="n"/>
      <c r="B95" s="105" t="n"/>
      <c r="C95" s="106" t="n"/>
      <c r="D95" s="105" t="n"/>
      <c r="E95" s="107" t="n"/>
      <c r="F95" s="107" t="n"/>
      <c r="G95" s="108">
        <f>IF($A95="","",IF(AND(F95&lt;&gt;"הושלם",F95&lt;&gt;"בוטל",K95&lt;&gt;"",K95&lt;Today_),"באיחור",IF(F95="","לא התחיל",F95)))</f>
        <v/>
      </c>
      <c r="H95" s="109" t="n"/>
      <c r="I95" s="110">
        <f>IF($A95="","",IF(H95&lt;&gt;"",H95,IF(F95="הושלם",1,IF(F95="בתהליך",0.5,IF(OR(F95="ממתין",F95="תקוע"),0.25,0)))))</f>
        <v/>
      </c>
      <c r="J95" s="111">
        <f>IF(OR($A95="",O95=""),"",IF(AND(N95="K",KeyActual&lt;&gt;""),O95+(KeyActual-KeyA),IF(Scenario="B",IF(Q95="",O95,Q95),O95)))</f>
        <v/>
      </c>
      <c r="K95" s="111">
        <f>IF(OR($A95="",P95=""),"",IF(AND(N95="K",KeyActual&lt;&gt;""),P95+(KeyActual-KeyA),IF(Scenario="B",IF(R95="",P95,R95),P95)))</f>
        <v/>
      </c>
      <c r="L95" s="112">
        <f>IF(OR($A95="",K95=""),"",IF(OR(F95="הושלם",F95="בוטל"),"",K95-Today_))</f>
        <v/>
      </c>
      <c r="M95" s="105" t="n"/>
      <c r="N95" s="108" t="n"/>
      <c r="O95" s="113" t="n"/>
      <c r="P95" s="113" t="n"/>
      <c r="Q95" s="113" t="n"/>
      <c r="R95" s="113" t="n"/>
      <c r="S95" s="105" t="n"/>
      <c r="T95" s="105" t="n"/>
      <c r="U95" s="105" t="n"/>
      <c r="V95" s="114">
        <f>IF(AND($A95&lt;&gt;"",F95&lt;&gt;"הושלם",F95&lt;&gt;"בוטל",J95&lt;&gt;""),IF(J95&lt;=Today_+14,IF(K95="",99999,K95)+ROW()/100000,""),"")</f>
        <v/>
      </c>
      <c r="W95" s="114">
        <f>IFERROR(IF($A95="","",CHOOSE(MATCH(G95,{"לא התחיל","בתהליך","ממתין","תקוע","באיחור","הושלם","בוטל"},0),1,2,3,3,4,5,6)*100000+IF(K95="",99999,K95)+ROW()/1000000),"")</f>
        <v/>
      </c>
      <c r="X95" s="114">
        <f>IF(AND($A95&lt;&gt;"",F95&lt;&gt;"הושלם",F95&lt;&gt;"בוטל",OR(ISNUMBER(SEARCH("אריאל",D95)),D95="כל המשפחה")),IF(K95="",99999,K95)+ROW()/100000,"")</f>
        <v/>
      </c>
      <c r="Y95" s="114">
        <f>IF(AND($A95&lt;&gt;"",F95&lt;&gt;"הושלם",F95&lt;&gt;"בוטל",OR(ISNUMBER(SEARCH("רינת",D95)),D95="כל המשפחה")),IF(K95="",99999,K95)+ROW()/100000,"")</f>
        <v/>
      </c>
      <c r="Z95" s="114">
        <f>IF(AND($A95&lt;&gt;"",F95&lt;&gt;"הושלם",F95&lt;&gt;"בוטל",OR(ISNUMBER(SEARCH("תמר",D95)))),IF(K95="",99999,K95)+ROW()/100000,"")</f>
        <v/>
      </c>
      <c r="AA95" s="114">
        <f>IF(AND($A95&lt;&gt;"",F95&lt;&gt;"הושלם",F95&lt;&gt;"בוטל",NOT(ISNUMBER(SEARCH("אריאל",D95))),NOT(ISNUMBER(SEARCH("רינת",D95))),NOT(ISNUMBER(SEARCH("תמר",D95))),D95&lt;&gt;"כל המשפחה"),IF(K95="",99999,K95)+ROW()/100000,"")</f>
        <v/>
      </c>
    </row>
  </sheetData>
  <mergeCells count="2">
    <mergeCell ref="A1:U1"/>
    <mergeCell ref="A2:U2"/>
  </mergeCells>
  <conditionalFormatting sqref="A5:U95">
    <cfRule type="expression" priority="1" dxfId="12">
      <formula>AND($A5&lt;&gt;"",MOD(ROW(),2)=0)</formula>
    </cfRule>
  </conditionalFormatting>
  <conditionalFormatting sqref="F5:F95">
    <cfRule type="expression" priority="2" dxfId="2" stopIfTrue="0">
      <formula>$F5="לא התחיל"</formula>
    </cfRule>
    <cfRule type="expression" priority="3" dxfId="3" stopIfTrue="0">
      <formula>$F5="בתהליך"</formula>
    </cfRule>
    <cfRule type="expression" priority="4" dxfId="4" stopIfTrue="0">
      <formula>$F5="ממתין"</formula>
    </cfRule>
    <cfRule type="expression" priority="5" dxfId="5" stopIfTrue="0">
      <formula>$F5="תקוע"</formula>
    </cfRule>
    <cfRule type="expression" priority="6" dxfId="6" stopIfTrue="0">
      <formula>$F5="באיחור"</formula>
    </cfRule>
    <cfRule type="expression" priority="7" dxfId="7" stopIfTrue="0">
      <formula>$F5="הושלם"</formula>
    </cfRule>
    <cfRule type="expression" priority="8" dxfId="8" stopIfTrue="0">
      <formula>$F5="בוטל"</formula>
    </cfRule>
  </conditionalFormatting>
  <conditionalFormatting sqref="G5:G95">
    <cfRule type="expression" priority="9" dxfId="2" stopIfTrue="0">
      <formula>$G5="לא התחיל"</formula>
    </cfRule>
    <cfRule type="expression" priority="10" dxfId="3" stopIfTrue="0">
      <formula>$G5="בתהליך"</formula>
    </cfRule>
    <cfRule type="expression" priority="11" dxfId="4" stopIfTrue="0">
      <formula>$G5="ממתין"</formula>
    </cfRule>
    <cfRule type="expression" priority="12" dxfId="5" stopIfTrue="0">
      <formula>$G5="תקוע"</formula>
    </cfRule>
    <cfRule type="expression" priority="13" dxfId="6" stopIfTrue="0">
      <formula>$G5="באיחור"</formula>
    </cfRule>
    <cfRule type="expression" priority="14" dxfId="7" stopIfTrue="0">
      <formula>$G5="הושלם"</formula>
    </cfRule>
    <cfRule type="expression" priority="15" dxfId="8" stopIfTrue="0">
      <formula>$G5="בוטל"</formula>
    </cfRule>
  </conditionalFormatting>
  <conditionalFormatting sqref="E5:E95">
    <cfRule type="expression" priority="16" dxfId="6">
      <formula>$E5="גבוהה"</formula>
    </cfRule>
    <cfRule type="expression" priority="17" dxfId="4">
      <formula>$E5="בינונית"</formula>
    </cfRule>
    <cfRule type="expression" priority="18" dxfId="13">
      <formula>$E5="נמוכה"</formula>
    </cfRule>
  </conditionalFormatting>
  <conditionalFormatting sqref="D5:D95">
    <cfRule type="expression" priority="19" dxfId="14" stopIfTrue="1">
      <formula>OR($D5="כל המשפחה",AND(ISNUMBER(SEARCH("אריאל",$D5)),ISNUMBER(SEARCH("רינת",$D5))))</formula>
    </cfRule>
    <cfRule type="expression" priority="20" dxfId="15" stopIfTrue="1">
      <formula>ISNUMBER(SEARCH("אריאל",$D5))</formula>
    </cfRule>
    <cfRule type="expression" priority="21" dxfId="16" stopIfTrue="1">
      <formula>ISNUMBER(SEARCH("רינת",$D5))</formula>
    </cfRule>
    <cfRule type="expression" priority="22" dxfId="17" stopIfTrue="1">
      <formula>ISNUMBER(SEARCH("תמר",$D5))</formula>
    </cfRule>
    <cfRule type="expression" priority="23" dxfId="18">
      <formula>$D5&lt;&gt;""</formula>
    </cfRule>
  </conditionalFormatting>
  <conditionalFormatting sqref="A5:C95">
    <cfRule type="expression" priority="24" dxfId="6">
      <formula>$G5="באיחור"</formula>
    </cfRule>
    <cfRule type="expression" priority="27" dxfId="19">
      <formula>OR($G5="הושלם",$G5="בוטל")</formula>
    </cfRule>
  </conditionalFormatting>
  <conditionalFormatting sqref="K5:L95">
    <cfRule type="expression" priority="25" dxfId="6">
      <formula>$G5="באיחור"</formula>
    </cfRule>
  </conditionalFormatting>
  <conditionalFormatting sqref="L5:L95">
    <cfRule type="expression" priority="26" dxfId="4">
      <formula>AND(ISNUMBER($L5),$L5&gt;=0,$L5&lt;=7)</formula>
    </cfRule>
  </conditionalFormatting>
  <conditionalFormatting sqref="I5:I95">
    <cfRule type="dataBar" priority="28">
      <dataBar showValue="1">
        <cfvo type="num" val="0"/>
        <cfvo type="num" val="1"/>
        <color rgb="002A9D8F"/>
      </dataBar>
    </cfRule>
  </conditionalFormatting>
  <dataValidations count="4">
    <dataValidation sqref="F5:F95" showDropDown="0" showInputMessage="0" showErrorMessage="0" allowBlank="1" errorTitle="סטטוס" error="בחרו סטטוס מהרשימה" promptTitle="סטטוס" prompt="בחרו סטטוס. &quot;באיחור&quot; מחושב אוטומטית בעמודת ⚡" type="list">
      <formula1>"לא התחיל,בתהליך,ממתין,תקוע,הושלם,בוטל"</formula1>
    </dataValidation>
    <dataValidation sqref="E5:E95" showDropDown="0" showInputMessage="0" showErrorMessage="0" allowBlank="1" type="list">
      <formula1>"גבוהה,בינונית,נמוכה"</formula1>
    </dataValidation>
    <dataValidation sqref="N5:N95" showDropDown="0" showInputMessage="0" showErrorMessage="0" allowBlank="1" prompt="F = תאריך קבוע · K = יחסי למועד המפתח" type="list">
      <formula1>"F,K"</formula1>
    </dataValidation>
    <dataValidation sqref="H5:H95" showDropDown="0" showInputMessage="0" showErrorMessage="0" allowBlank="1" error="ערך בין 0% ל-100%" prompt="אופציונלי: 0%–100%. ריק = לפי הסטטוס" type="decimal" operator="between">
      <formula1>0</formula1>
      <formula2>1</formula2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 fitToPage="1"/>
  </sheetPr>
  <dimension ref="A1:AJ114"/>
  <sheetViews>
    <sheetView showGridLines="0" rightToLeft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10" customWidth="1" min="4" max="4"/>
    <col width="9" customWidth="1" min="5" max="5"/>
    <col width="9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</cols>
  <sheetData>
    <row r="1" ht="38" customHeight="1">
      <c r="A1" s="115" t="inlineStr">
        <is>
          <t>📊 גאנט — לוח זמנים שבועי (אוקטובר 2026 – אפריל 2027)</t>
        </is>
      </c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5" t="n"/>
      <c r="AI1" s="115" t="n"/>
      <c r="AJ1" s="115" t="n"/>
    </row>
    <row r="2" ht="20" customHeight="1">
      <c r="A2" s="3">
        <f>"תרחיש פעיל: "&amp;Scenario&amp;"  ·  מפתח: "&amp;TEXT(KeyActive,"dd/mm/yyyy")&amp;"  ·  ◆ = אבן דרך  ·  עמודה צהובה = השבוע הנוכחי  ·  צבע הפס = מצב המשימה"</f>
        <v/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75" t="inlineStr">
        <is>
          <t>ID</t>
        </is>
      </c>
      <c r="B3" s="75" t="inlineStr">
        <is>
          <t>משימה / אבן דרך</t>
        </is>
      </c>
      <c r="C3" s="75" t="inlineStr">
        <is>
          <t>אחראי</t>
        </is>
      </c>
      <c r="D3" s="75" t="inlineStr">
        <is>
          <t>⚡ מצב</t>
        </is>
      </c>
      <c r="E3" s="75" t="inlineStr">
        <is>
          <t>▶ התחלה</t>
        </is>
      </c>
      <c r="F3" s="75" t="inlineStr">
        <is>
          <t>🎯 יעד</t>
        </is>
      </c>
      <c r="G3" s="116" t="inlineStr">
        <is>
          <t>אוקטובר 26</t>
        </is>
      </c>
      <c r="H3" s="116" t="n"/>
      <c r="I3" s="116" t="n"/>
      <c r="J3" s="116" t="n"/>
      <c r="K3" s="59" t="inlineStr">
        <is>
          <t>נובמבר 26</t>
        </is>
      </c>
      <c r="L3" s="59" t="n"/>
      <c r="M3" s="59" t="n"/>
      <c r="N3" s="59" t="n"/>
      <c r="O3" s="59" t="n"/>
      <c r="P3" s="116" t="inlineStr">
        <is>
          <t>דצמבר 26</t>
        </is>
      </c>
      <c r="Q3" s="116" t="n"/>
      <c r="R3" s="116" t="n"/>
      <c r="S3" s="116" t="n"/>
      <c r="T3" s="59" t="inlineStr">
        <is>
          <t>ינואר 27</t>
        </is>
      </c>
      <c r="U3" s="59" t="n"/>
      <c r="V3" s="59" t="n"/>
      <c r="W3" s="59" t="n"/>
      <c r="X3" s="59" t="n"/>
      <c r="Y3" s="116" t="inlineStr">
        <is>
          <t>פברואר 27</t>
        </is>
      </c>
      <c r="Z3" s="116" t="n"/>
      <c r="AA3" s="116" t="n"/>
      <c r="AB3" s="116" t="n"/>
      <c r="AC3" s="59" t="inlineStr">
        <is>
          <t>מרץ 27</t>
        </is>
      </c>
      <c r="AD3" s="59" t="n"/>
      <c r="AE3" s="59" t="n"/>
      <c r="AF3" s="59" t="n"/>
      <c r="AG3" s="116" t="inlineStr">
        <is>
          <t>אפריל 27</t>
        </is>
      </c>
      <c r="AH3" s="116" t="n"/>
      <c r="AI3" s="116" t="n"/>
      <c r="AJ3" s="116" t="n"/>
    </row>
    <row r="4" ht="34" customHeight="1">
      <c r="A4" s="75" t="n"/>
      <c r="B4" s="75" t="n"/>
      <c r="C4" s="75" t="n"/>
      <c r="D4" s="75" t="n"/>
      <c r="E4" s="75" t="n"/>
      <c r="F4" s="75" t="n"/>
      <c r="G4" s="117" t="n">
        <v>46299</v>
      </c>
      <c r="H4" s="117" t="n">
        <v>46306</v>
      </c>
      <c r="I4" s="117" t="n">
        <v>46313</v>
      </c>
      <c r="J4" s="117" t="n">
        <v>46320</v>
      </c>
      <c r="K4" s="117" t="n">
        <v>46327</v>
      </c>
      <c r="L4" s="117" t="n">
        <v>46334</v>
      </c>
      <c r="M4" s="117" t="n">
        <v>46341</v>
      </c>
      <c r="N4" s="117" t="n">
        <v>46348</v>
      </c>
      <c r="O4" s="117" t="n">
        <v>46355</v>
      </c>
      <c r="P4" s="117" t="n">
        <v>46362</v>
      </c>
      <c r="Q4" s="117" t="n">
        <v>46369</v>
      </c>
      <c r="R4" s="117" t="n">
        <v>46376</v>
      </c>
      <c r="S4" s="117" t="n">
        <v>46383</v>
      </c>
      <c r="T4" s="117" t="n">
        <v>46390</v>
      </c>
      <c r="U4" s="117" t="n">
        <v>46397</v>
      </c>
      <c r="V4" s="117" t="n">
        <v>46404</v>
      </c>
      <c r="W4" s="117" t="n">
        <v>46411</v>
      </c>
      <c r="X4" s="117" t="n">
        <v>46418</v>
      </c>
      <c r="Y4" s="117" t="n">
        <v>46425</v>
      </c>
      <c r="Z4" s="117" t="n">
        <v>46432</v>
      </c>
      <c r="AA4" s="117" t="n">
        <v>46439</v>
      </c>
      <c r="AB4" s="117" t="n">
        <v>46446</v>
      </c>
      <c r="AC4" s="117" t="n">
        <v>46453</v>
      </c>
      <c r="AD4" s="117" t="n">
        <v>46460</v>
      </c>
      <c r="AE4" s="117" t="n">
        <v>46467</v>
      </c>
      <c r="AF4" s="117" t="n">
        <v>46474</v>
      </c>
      <c r="AG4" s="117" t="n">
        <v>46481</v>
      </c>
      <c r="AH4" s="117" t="n">
        <v>46488</v>
      </c>
      <c r="AI4" s="117" t="n">
        <v>46495</v>
      </c>
      <c r="AJ4" s="117" t="n">
        <v>46502</v>
      </c>
    </row>
    <row r="5">
      <c r="B5" s="118" t="inlineStr">
        <is>
          <t>היום ▼</t>
        </is>
      </c>
      <c r="G5" s="119">
        <f>IF(AND(Today_&gt;=G$4,Today_&lt;G$4+7),"▼","")</f>
        <v/>
      </c>
      <c r="H5" s="119">
        <f>IF(AND(Today_&gt;=H$4,Today_&lt;H$4+7),"▼","")</f>
        <v/>
      </c>
      <c r="I5" s="119">
        <f>IF(AND(Today_&gt;=I$4,Today_&lt;I$4+7),"▼","")</f>
        <v/>
      </c>
      <c r="J5" s="119">
        <f>IF(AND(Today_&gt;=J$4,Today_&lt;J$4+7),"▼","")</f>
        <v/>
      </c>
      <c r="K5" s="119">
        <f>IF(AND(Today_&gt;=K$4,Today_&lt;K$4+7),"▼","")</f>
        <v/>
      </c>
      <c r="L5" s="119">
        <f>IF(AND(Today_&gt;=L$4,Today_&lt;L$4+7),"▼","")</f>
        <v/>
      </c>
      <c r="M5" s="119">
        <f>IF(AND(Today_&gt;=M$4,Today_&lt;M$4+7),"▼","")</f>
        <v/>
      </c>
      <c r="N5" s="119">
        <f>IF(AND(Today_&gt;=N$4,Today_&lt;N$4+7),"▼","")</f>
        <v/>
      </c>
      <c r="O5" s="119">
        <f>IF(AND(Today_&gt;=O$4,Today_&lt;O$4+7),"▼","")</f>
        <v/>
      </c>
      <c r="P5" s="119">
        <f>IF(AND(Today_&gt;=P$4,Today_&lt;P$4+7),"▼","")</f>
        <v/>
      </c>
      <c r="Q5" s="119">
        <f>IF(AND(Today_&gt;=Q$4,Today_&lt;Q$4+7),"▼","")</f>
        <v/>
      </c>
      <c r="R5" s="119">
        <f>IF(AND(Today_&gt;=R$4,Today_&lt;R$4+7),"▼","")</f>
        <v/>
      </c>
      <c r="S5" s="119">
        <f>IF(AND(Today_&gt;=S$4,Today_&lt;S$4+7),"▼","")</f>
        <v/>
      </c>
      <c r="T5" s="119">
        <f>IF(AND(Today_&gt;=T$4,Today_&lt;T$4+7),"▼","")</f>
        <v/>
      </c>
      <c r="U5" s="119">
        <f>IF(AND(Today_&gt;=U$4,Today_&lt;U$4+7),"▼","")</f>
        <v/>
      </c>
      <c r="V5" s="119">
        <f>IF(AND(Today_&gt;=V$4,Today_&lt;V$4+7),"▼","")</f>
        <v/>
      </c>
      <c r="W5" s="119">
        <f>IF(AND(Today_&gt;=W$4,Today_&lt;W$4+7),"▼","")</f>
        <v/>
      </c>
      <c r="X5" s="119">
        <f>IF(AND(Today_&gt;=X$4,Today_&lt;X$4+7),"▼","")</f>
        <v/>
      </c>
      <c r="Y5" s="119">
        <f>IF(AND(Today_&gt;=Y$4,Today_&lt;Y$4+7),"▼","")</f>
        <v/>
      </c>
      <c r="Z5" s="119">
        <f>IF(AND(Today_&gt;=Z$4,Today_&lt;Z$4+7),"▼","")</f>
        <v/>
      </c>
      <c r="AA5" s="119">
        <f>IF(AND(Today_&gt;=AA$4,Today_&lt;AA$4+7),"▼","")</f>
        <v/>
      </c>
      <c r="AB5" s="119">
        <f>IF(AND(Today_&gt;=AB$4,Today_&lt;AB$4+7),"▼","")</f>
        <v/>
      </c>
      <c r="AC5" s="119">
        <f>IF(AND(Today_&gt;=AC$4,Today_&lt;AC$4+7),"▼","")</f>
        <v/>
      </c>
      <c r="AD5" s="119">
        <f>IF(AND(Today_&gt;=AD$4,Today_&lt;AD$4+7),"▼","")</f>
        <v/>
      </c>
      <c r="AE5" s="119">
        <f>IF(AND(Today_&gt;=AE$4,Today_&lt;AE$4+7),"▼","")</f>
        <v/>
      </c>
      <c r="AF5" s="119">
        <f>IF(AND(Today_&gt;=AF$4,Today_&lt;AF$4+7),"▼","")</f>
        <v/>
      </c>
      <c r="AG5" s="119">
        <f>IF(AND(Today_&gt;=AG$4,Today_&lt;AG$4+7),"▼","")</f>
        <v/>
      </c>
      <c r="AH5" s="119">
        <f>IF(AND(Today_&gt;=AH$4,Today_&lt;AH$4+7),"▼","")</f>
        <v/>
      </c>
      <c r="AI5" s="119">
        <f>IF(AND(Today_&gt;=AI$4,Today_&lt;AI$4+7),"▼","")</f>
        <v/>
      </c>
      <c r="AJ5" s="119">
        <f>IF(AND(Today_&gt;=AJ$4,Today_&lt;AJ$4+7),"▼","")</f>
        <v/>
      </c>
    </row>
    <row r="6">
      <c r="A6" s="120" t="inlineStr">
        <is>
          <t>🏁 אבני דרך</t>
        </is>
      </c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0" t="n"/>
      <c r="U6" s="120" t="n"/>
      <c r="V6" s="120" t="n"/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120" t="n"/>
      <c r="AG6" s="120" t="n"/>
      <c r="AH6" s="120" t="n"/>
      <c r="AI6" s="120" t="n"/>
      <c r="AJ6" s="120" t="n"/>
    </row>
    <row r="7">
      <c r="A7" s="121">
        <f>'אבני דרך'!A5</f>
        <v/>
      </c>
      <c r="B7" s="122">
        <f>'אבני דרך'!B5</f>
        <v/>
      </c>
      <c r="C7" s="122" t="n"/>
      <c r="D7" s="122">
        <f>'אבני דרך'!G5</f>
        <v/>
      </c>
      <c r="E7" s="123">
        <f>'אבני דרך'!E5</f>
        <v/>
      </c>
      <c r="F7" s="123">
        <f>'אבני דרך'!E5</f>
        <v/>
      </c>
      <c r="G7" s="124">
        <f>IF(AND($E7&lt;&gt;"",$E7&gt;=G$4,$E7&lt;G$4+7),"◆","")</f>
        <v/>
      </c>
      <c r="H7" s="124">
        <f>IF(AND($E7&lt;&gt;"",$E7&gt;=H$4,$E7&lt;H$4+7),"◆","")</f>
        <v/>
      </c>
      <c r="I7" s="124">
        <f>IF(AND($E7&lt;&gt;"",$E7&gt;=I$4,$E7&lt;I$4+7),"◆","")</f>
        <v/>
      </c>
      <c r="J7" s="124">
        <f>IF(AND($E7&lt;&gt;"",$E7&gt;=J$4,$E7&lt;J$4+7),"◆","")</f>
        <v/>
      </c>
      <c r="K7" s="124">
        <f>IF(AND($E7&lt;&gt;"",$E7&gt;=K$4,$E7&lt;K$4+7),"◆","")</f>
        <v/>
      </c>
      <c r="L7" s="124">
        <f>IF(AND($E7&lt;&gt;"",$E7&gt;=L$4,$E7&lt;L$4+7),"◆","")</f>
        <v/>
      </c>
      <c r="M7" s="124">
        <f>IF(AND($E7&lt;&gt;"",$E7&gt;=M$4,$E7&lt;M$4+7),"◆","")</f>
        <v/>
      </c>
      <c r="N7" s="124">
        <f>IF(AND($E7&lt;&gt;"",$E7&gt;=N$4,$E7&lt;N$4+7),"◆","")</f>
        <v/>
      </c>
      <c r="O7" s="124">
        <f>IF(AND($E7&lt;&gt;"",$E7&gt;=O$4,$E7&lt;O$4+7),"◆","")</f>
        <v/>
      </c>
      <c r="P7" s="124">
        <f>IF(AND($E7&lt;&gt;"",$E7&gt;=P$4,$E7&lt;P$4+7),"◆","")</f>
        <v/>
      </c>
      <c r="Q7" s="124">
        <f>IF(AND($E7&lt;&gt;"",$E7&gt;=Q$4,$E7&lt;Q$4+7),"◆","")</f>
        <v/>
      </c>
      <c r="R7" s="124">
        <f>IF(AND($E7&lt;&gt;"",$E7&gt;=R$4,$E7&lt;R$4+7),"◆","")</f>
        <v/>
      </c>
      <c r="S7" s="124">
        <f>IF(AND($E7&lt;&gt;"",$E7&gt;=S$4,$E7&lt;S$4+7),"◆","")</f>
        <v/>
      </c>
      <c r="T7" s="124">
        <f>IF(AND($E7&lt;&gt;"",$E7&gt;=T$4,$E7&lt;T$4+7),"◆","")</f>
        <v/>
      </c>
      <c r="U7" s="124">
        <f>IF(AND($E7&lt;&gt;"",$E7&gt;=U$4,$E7&lt;U$4+7),"◆","")</f>
        <v/>
      </c>
      <c r="V7" s="124">
        <f>IF(AND($E7&lt;&gt;"",$E7&gt;=V$4,$E7&lt;V$4+7),"◆","")</f>
        <v/>
      </c>
      <c r="W7" s="124">
        <f>IF(AND($E7&lt;&gt;"",$E7&gt;=W$4,$E7&lt;W$4+7),"◆","")</f>
        <v/>
      </c>
      <c r="X7" s="124">
        <f>IF(AND($E7&lt;&gt;"",$E7&gt;=X$4,$E7&lt;X$4+7),"◆","")</f>
        <v/>
      </c>
      <c r="Y7" s="124">
        <f>IF(AND($E7&lt;&gt;"",$E7&gt;=Y$4,$E7&lt;Y$4+7),"◆","")</f>
        <v/>
      </c>
      <c r="Z7" s="124">
        <f>IF(AND($E7&lt;&gt;"",$E7&gt;=Z$4,$E7&lt;Z$4+7),"◆","")</f>
        <v/>
      </c>
      <c r="AA7" s="124">
        <f>IF(AND($E7&lt;&gt;"",$E7&gt;=AA$4,$E7&lt;AA$4+7),"◆","")</f>
        <v/>
      </c>
      <c r="AB7" s="124">
        <f>IF(AND($E7&lt;&gt;"",$E7&gt;=AB$4,$E7&lt;AB$4+7),"◆","")</f>
        <v/>
      </c>
      <c r="AC7" s="124">
        <f>IF(AND($E7&lt;&gt;"",$E7&gt;=AC$4,$E7&lt;AC$4+7),"◆","")</f>
        <v/>
      </c>
      <c r="AD7" s="124">
        <f>IF(AND($E7&lt;&gt;"",$E7&gt;=AD$4,$E7&lt;AD$4+7),"◆","")</f>
        <v/>
      </c>
      <c r="AE7" s="124">
        <f>IF(AND($E7&lt;&gt;"",$E7&gt;=AE$4,$E7&lt;AE$4+7),"◆","")</f>
        <v/>
      </c>
      <c r="AF7" s="124">
        <f>IF(AND($E7&lt;&gt;"",$E7&gt;=AF$4,$E7&lt;AF$4+7),"◆","")</f>
        <v/>
      </c>
      <c r="AG7" s="124">
        <f>IF(AND($E7&lt;&gt;"",$E7&gt;=AG$4,$E7&lt;AG$4+7),"◆","")</f>
        <v/>
      </c>
      <c r="AH7" s="124">
        <f>IF(AND($E7&lt;&gt;"",$E7&gt;=AH$4,$E7&lt;AH$4+7),"◆","")</f>
        <v/>
      </c>
      <c r="AI7" s="124">
        <f>IF(AND($E7&lt;&gt;"",$E7&gt;=AI$4,$E7&lt;AI$4+7),"◆","")</f>
        <v/>
      </c>
      <c r="AJ7" s="124">
        <f>IF(AND($E7&lt;&gt;"",$E7&gt;=AJ$4,$E7&lt;AJ$4+7),"◆","")</f>
        <v/>
      </c>
    </row>
    <row r="8">
      <c r="A8" s="121">
        <f>'אבני דרך'!A6</f>
        <v/>
      </c>
      <c r="B8" s="122">
        <f>'אבני דרך'!B6</f>
        <v/>
      </c>
      <c r="C8" s="122" t="n"/>
      <c r="D8" s="122">
        <f>'אבני דרך'!G6</f>
        <v/>
      </c>
      <c r="E8" s="123">
        <f>'אבני דרך'!E6</f>
        <v/>
      </c>
      <c r="F8" s="123">
        <f>'אבני דרך'!E6</f>
        <v/>
      </c>
      <c r="G8" s="124">
        <f>IF(AND($E8&lt;&gt;"",$E8&gt;=G$4,$E8&lt;G$4+7),"◆","")</f>
        <v/>
      </c>
      <c r="H8" s="124">
        <f>IF(AND($E8&lt;&gt;"",$E8&gt;=H$4,$E8&lt;H$4+7),"◆","")</f>
        <v/>
      </c>
      <c r="I8" s="124">
        <f>IF(AND($E8&lt;&gt;"",$E8&gt;=I$4,$E8&lt;I$4+7),"◆","")</f>
        <v/>
      </c>
      <c r="J8" s="124">
        <f>IF(AND($E8&lt;&gt;"",$E8&gt;=J$4,$E8&lt;J$4+7),"◆","")</f>
        <v/>
      </c>
      <c r="K8" s="124">
        <f>IF(AND($E8&lt;&gt;"",$E8&gt;=K$4,$E8&lt;K$4+7),"◆","")</f>
        <v/>
      </c>
      <c r="L8" s="124">
        <f>IF(AND($E8&lt;&gt;"",$E8&gt;=L$4,$E8&lt;L$4+7),"◆","")</f>
        <v/>
      </c>
      <c r="M8" s="124">
        <f>IF(AND($E8&lt;&gt;"",$E8&gt;=M$4,$E8&lt;M$4+7),"◆","")</f>
        <v/>
      </c>
      <c r="N8" s="124">
        <f>IF(AND($E8&lt;&gt;"",$E8&gt;=N$4,$E8&lt;N$4+7),"◆","")</f>
        <v/>
      </c>
      <c r="O8" s="124">
        <f>IF(AND($E8&lt;&gt;"",$E8&gt;=O$4,$E8&lt;O$4+7),"◆","")</f>
        <v/>
      </c>
      <c r="P8" s="124">
        <f>IF(AND($E8&lt;&gt;"",$E8&gt;=P$4,$E8&lt;P$4+7),"◆","")</f>
        <v/>
      </c>
      <c r="Q8" s="124">
        <f>IF(AND($E8&lt;&gt;"",$E8&gt;=Q$4,$E8&lt;Q$4+7),"◆","")</f>
        <v/>
      </c>
      <c r="R8" s="124">
        <f>IF(AND($E8&lt;&gt;"",$E8&gt;=R$4,$E8&lt;R$4+7),"◆","")</f>
        <v/>
      </c>
      <c r="S8" s="124">
        <f>IF(AND($E8&lt;&gt;"",$E8&gt;=S$4,$E8&lt;S$4+7),"◆","")</f>
        <v/>
      </c>
      <c r="T8" s="124">
        <f>IF(AND($E8&lt;&gt;"",$E8&gt;=T$4,$E8&lt;T$4+7),"◆","")</f>
        <v/>
      </c>
      <c r="U8" s="124">
        <f>IF(AND($E8&lt;&gt;"",$E8&gt;=U$4,$E8&lt;U$4+7),"◆","")</f>
        <v/>
      </c>
      <c r="V8" s="124">
        <f>IF(AND($E8&lt;&gt;"",$E8&gt;=V$4,$E8&lt;V$4+7),"◆","")</f>
        <v/>
      </c>
      <c r="W8" s="124">
        <f>IF(AND($E8&lt;&gt;"",$E8&gt;=W$4,$E8&lt;W$4+7),"◆","")</f>
        <v/>
      </c>
      <c r="X8" s="124">
        <f>IF(AND($E8&lt;&gt;"",$E8&gt;=X$4,$E8&lt;X$4+7),"◆","")</f>
        <v/>
      </c>
      <c r="Y8" s="124">
        <f>IF(AND($E8&lt;&gt;"",$E8&gt;=Y$4,$E8&lt;Y$4+7),"◆","")</f>
        <v/>
      </c>
      <c r="Z8" s="124">
        <f>IF(AND($E8&lt;&gt;"",$E8&gt;=Z$4,$E8&lt;Z$4+7),"◆","")</f>
        <v/>
      </c>
      <c r="AA8" s="124">
        <f>IF(AND($E8&lt;&gt;"",$E8&gt;=AA$4,$E8&lt;AA$4+7),"◆","")</f>
        <v/>
      </c>
      <c r="AB8" s="124">
        <f>IF(AND($E8&lt;&gt;"",$E8&gt;=AB$4,$E8&lt;AB$4+7),"◆","")</f>
        <v/>
      </c>
      <c r="AC8" s="124">
        <f>IF(AND($E8&lt;&gt;"",$E8&gt;=AC$4,$E8&lt;AC$4+7),"◆","")</f>
        <v/>
      </c>
      <c r="AD8" s="124">
        <f>IF(AND($E8&lt;&gt;"",$E8&gt;=AD$4,$E8&lt;AD$4+7),"◆","")</f>
        <v/>
      </c>
      <c r="AE8" s="124">
        <f>IF(AND($E8&lt;&gt;"",$E8&gt;=AE$4,$E8&lt;AE$4+7),"◆","")</f>
        <v/>
      </c>
      <c r="AF8" s="124">
        <f>IF(AND($E8&lt;&gt;"",$E8&gt;=AF$4,$E8&lt;AF$4+7),"◆","")</f>
        <v/>
      </c>
      <c r="AG8" s="124">
        <f>IF(AND($E8&lt;&gt;"",$E8&gt;=AG$4,$E8&lt;AG$4+7),"◆","")</f>
        <v/>
      </c>
      <c r="AH8" s="124">
        <f>IF(AND($E8&lt;&gt;"",$E8&gt;=AH$4,$E8&lt;AH$4+7),"◆","")</f>
        <v/>
      </c>
      <c r="AI8" s="124">
        <f>IF(AND($E8&lt;&gt;"",$E8&gt;=AI$4,$E8&lt;AI$4+7),"◆","")</f>
        <v/>
      </c>
      <c r="AJ8" s="124">
        <f>IF(AND($E8&lt;&gt;"",$E8&gt;=AJ$4,$E8&lt;AJ$4+7),"◆","")</f>
        <v/>
      </c>
    </row>
    <row r="9">
      <c r="A9" s="121">
        <f>'אבני דרך'!A7</f>
        <v/>
      </c>
      <c r="B9" s="122">
        <f>'אבני דרך'!B7</f>
        <v/>
      </c>
      <c r="C9" s="122" t="n"/>
      <c r="D9" s="122">
        <f>'אבני דרך'!G7</f>
        <v/>
      </c>
      <c r="E9" s="123">
        <f>'אבני דרך'!E7</f>
        <v/>
      </c>
      <c r="F9" s="123">
        <f>'אבני דרך'!E7</f>
        <v/>
      </c>
      <c r="G9" s="124">
        <f>IF(AND($E9&lt;&gt;"",$E9&gt;=G$4,$E9&lt;G$4+7),"◆","")</f>
        <v/>
      </c>
      <c r="H9" s="124">
        <f>IF(AND($E9&lt;&gt;"",$E9&gt;=H$4,$E9&lt;H$4+7),"◆","")</f>
        <v/>
      </c>
      <c r="I9" s="124">
        <f>IF(AND($E9&lt;&gt;"",$E9&gt;=I$4,$E9&lt;I$4+7),"◆","")</f>
        <v/>
      </c>
      <c r="J9" s="124">
        <f>IF(AND($E9&lt;&gt;"",$E9&gt;=J$4,$E9&lt;J$4+7),"◆","")</f>
        <v/>
      </c>
      <c r="K9" s="124">
        <f>IF(AND($E9&lt;&gt;"",$E9&gt;=K$4,$E9&lt;K$4+7),"◆","")</f>
        <v/>
      </c>
      <c r="L9" s="124">
        <f>IF(AND($E9&lt;&gt;"",$E9&gt;=L$4,$E9&lt;L$4+7),"◆","")</f>
        <v/>
      </c>
      <c r="M9" s="124">
        <f>IF(AND($E9&lt;&gt;"",$E9&gt;=M$4,$E9&lt;M$4+7),"◆","")</f>
        <v/>
      </c>
      <c r="N9" s="124">
        <f>IF(AND($E9&lt;&gt;"",$E9&gt;=N$4,$E9&lt;N$4+7),"◆","")</f>
        <v/>
      </c>
      <c r="O9" s="124">
        <f>IF(AND($E9&lt;&gt;"",$E9&gt;=O$4,$E9&lt;O$4+7),"◆","")</f>
        <v/>
      </c>
      <c r="P9" s="124">
        <f>IF(AND($E9&lt;&gt;"",$E9&gt;=P$4,$E9&lt;P$4+7),"◆","")</f>
        <v/>
      </c>
      <c r="Q9" s="124">
        <f>IF(AND($E9&lt;&gt;"",$E9&gt;=Q$4,$E9&lt;Q$4+7),"◆","")</f>
        <v/>
      </c>
      <c r="R9" s="124">
        <f>IF(AND($E9&lt;&gt;"",$E9&gt;=R$4,$E9&lt;R$4+7),"◆","")</f>
        <v/>
      </c>
      <c r="S9" s="124">
        <f>IF(AND($E9&lt;&gt;"",$E9&gt;=S$4,$E9&lt;S$4+7),"◆","")</f>
        <v/>
      </c>
      <c r="T9" s="124">
        <f>IF(AND($E9&lt;&gt;"",$E9&gt;=T$4,$E9&lt;T$4+7),"◆","")</f>
        <v/>
      </c>
      <c r="U9" s="124">
        <f>IF(AND($E9&lt;&gt;"",$E9&gt;=U$4,$E9&lt;U$4+7),"◆","")</f>
        <v/>
      </c>
      <c r="V9" s="124">
        <f>IF(AND($E9&lt;&gt;"",$E9&gt;=V$4,$E9&lt;V$4+7),"◆","")</f>
        <v/>
      </c>
      <c r="W9" s="124">
        <f>IF(AND($E9&lt;&gt;"",$E9&gt;=W$4,$E9&lt;W$4+7),"◆","")</f>
        <v/>
      </c>
      <c r="X9" s="124">
        <f>IF(AND($E9&lt;&gt;"",$E9&gt;=X$4,$E9&lt;X$4+7),"◆","")</f>
        <v/>
      </c>
      <c r="Y9" s="124">
        <f>IF(AND($E9&lt;&gt;"",$E9&gt;=Y$4,$E9&lt;Y$4+7),"◆","")</f>
        <v/>
      </c>
      <c r="Z9" s="124">
        <f>IF(AND($E9&lt;&gt;"",$E9&gt;=Z$4,$E9&lt;Z$4+7),"◆","")</f>
        <v/>
      </c>
      <c r="AA9" s="124">
        <f>IF(AND($E9&lt;&gt;"",$E9&gt;=AA$4,$E9&lt;AA$4+7),"◆","")</f>
        <v/>
      </c>
      <c r="AB9" s="124">
        <f>IF(AND($E9&lt;&gt;"",$E9&gt;=AB$4,$E9&lt;AB$4+7),"◆","")</f>
        <v/>
      </c>
      <c r="AC9" s="124">
        <f>IF(AND($E9&lt;&gt;"",$E9&gt;=AC$4,$E9&lt;AC$4+7),"◆","")</f>
        <v/>
      </c>
      <c r="AD9" s="124">
        <f>IF(AND($E9&lt;&gt;"",$E9&gt;=AD$4,$E9&lt;AD$4+7),"◆","")</f>
        <v/>
      </c>
      <c r="AE9" s="124">
        <f>IF(AND($E9&lt;&gt;"",$E9&gt;=AE$4,$E9&lt;AE$4+7),"◆","")</f>
        <v/>
      </c>
      <c r="AF9" s="124">
        <f>IF(AND($E9&lt;&gt;"",$E9&gt;=AF$4,$E9&lt;AF$4+7),"◆","")</f>
        <v/>
      </c>
      <c r="AG9" s="124">
        <f>IF(AND($E9&lt;&gt;"",$E9&gt;=AG$4,$E9&lt;AG$4+7),"◆","")</f>
        <v/>
      </c>
      <c r="AH9" s="124">
        <f>IF(AND($E9&lt;&gt;"",$E9&gt;=AH$4,$E9&lt;AH$4+7),"◆","")</f>
        <v/>
      </c>
      <c r="AI9" s="124">
        <f>IF(AND($E9&lt;&gt;"",$E9&gt;=AI$4,$E9&lt;AI$4+7),"◆","")</f>
        <v/>
      </c>
      <c r="AJ9" s="124">
        <f>IF(AND($E9&lt;&gt;"",$E9&gt;=AJ$4,$E9&lt;AJ$4+7),"◆","")</f>
        <v/>
      </c>
    </row>
    <row r="10">
      <c r="A10" s="121">
        <f>'אבני דרך'!A8</f>
        <v/>
      </c>
      <c r="B10" s="122">
        <f>'אבני דרך'!B8</f>
        <v/>
      </c>
      <c r="C10" s="122" t="n"/>
      <c r="D10" s="122">
        <f>'אבני דרך'!G8</f>
        <v/>
      </c>
      <c r="E10" s="123">
        <f>'אבני דרך'!E8</f>
        <v/>
      </c>
      <c r="F10" s="123">
        <f>'אבני דרך'!E8</f>
        <v/>
      </c>
      <c r="G10" s="124">
        <f>IF(AND($E10&lt;&gt;"",$E10&gt;=G$4,$E10&lt;G$4+7),"◆","")</f>
        <v/>
      </c>
      <c r="H10" s="124">
        <f>IF(AND($E10&lt;&gt;"",$E10&gt;=H$4,$E10&lt;H$4+7),"◆","")</f>
        <v/>
      </c>
      <c r="I10" s="124">
        <f>IF(AND($E10&lt;&gt;"",$E10&gt;=I$4,$E10&lt;I$4+7),"◆","")</f>
        <v/>
      </c>
      <c r="J10" s="124">
        <f>IF(AND($E10&lt;&gt;"",$E10&gt;=J$4,$E10&lt;J$4+7),"◆","")</f>
        <v/>
      </c>
      <c r="K10" s="124">
        <f>IF(AND($E10&lt;&gt;"",$E10&gt;=K$4,$E10&lt;K$4+7),"◆","")</f>
        <v/>
      </c>
      <c r="L10" s="124">
        <f>IF(AND($E10&lt;&gt;"",$E10&gt;=L$4,$E10&lt;L$4+7),"◆","")</f>
        <v/>
      </c>
      <c r="M10" s="124">
        <f>IF(AND($E10&lt;&gt;"",$E10&gt;=M$4,$E10&lt;M$4+7),"◆","")</f>
        <v/>
      </c>
      <c r="N10" s="124">
        <f>IF(AND($E10&lt;&gt;"",$E10&gt;=N$4,$E10&lt;N$4+7),"◆","")</f>
        <v/>
      </c>
      <c r="O10" s="124">
        <f>IF(AND($E10&lt;&gt;"",$E10&gt;=O$4,$E10&lt;O$4+7),"◆","")</f>
        <v/>
      </c>
      <c r="P10" s="124">
        <f>IF(AND($E10&lt;&gt;"",$E10&gt;=P$4,$E10&lt;P$4+7),"◆","")</f>
        <v/>
      </c>
      <c r="Q10" s="124">
        <f>IF(AND($E10&lt;&gt;"",$E10&gt;=Q$4,$E10&lt;Q$4+7),"◆","")</f>
        <v/>
      </c>
      <c r="R10" s="124">
        <f>IF(AND($E10&lt;&gt;"",$E10&gt;=R$4,$E10&lt;R$4+7),"◆","")</f>
        <v/>
      </c>
      <c r="S10" s="124">
        <f>IF(AND($E10&lt;&gt;"",$E10&gt;=S$4,$E10&lt;S$4+7),"◆","")</f>
        <v/>
      </c>
      <c r="T10" s="124">
        <f>IF(AND($E10&lt;&gt;"",$E10&gt;=T$4,$E10&lt;T$4+7),"◆","")</f>
        <v/>
      </c>
      <c r="U10" s="124">
        <f>IF(AND($E10&lt;&gt;"",$E10&gt;=U$4,$E10&lt;U$4+7),"◆","")</f>
        <v/>
      </c>
      <c r="V10" s="124">
        <f>IF(AND($E10&lt;&gt;"",$E10&gt;=V$4,$E10&lt;V$4+7),"◆","")</f>
        <v/>
      </c>
      <c r="W10" s="124">
        <f>IF(AND($E10&lt;&gt;"",$E10&gt;=W$4,$E10&lt;W$4+7),"◆","")</f>
        <v/>
      </c>
      <c r="X10" s="124">
        <f>IF(AND($E10&lt;&gt;"",$E10&gt;=X$4,$E10&lt;X$4+7),"◆","")</f>
        <v/>
      </c>
      <c r="Y10" s="124">
        <f>IF(AND($E10&lt;&gt;"",$E10&gt;=Y$4,$E10&lt;Y$4+7),"◆","")</f>
        <v/>
      </c>
      <c r="Z10" s="124">
        <f>IF(AND($E10&lt;&gt;"",$E10&gt;=Z$4,$E10&lt;Z$4+7),"◆","")</f>
        <v/>
      </c>
      <c r="AA10" s="124">
        <f>IF(AND($E10&lt;&gt;"",$E10&gt;=AA$4,$E10&lt;AA$4+7),"◆","")</f>
        <v/>
      </c>
      <c r="AB10" s="124">
        <f>IF(AND($E10&lt;&gt;"",$E10&gt;=AB$4,$E10&lt;AB$4+7),"◆","")</f>
        <v/>
      </c>
      <c r="AC10" s="124">
        <f>IF(AND($E10&lt;&gt;"",$E10&gt;=AC$4,$E10&lt;AC$4+7),"◆","")</f>
        <v/>
      </c>
      <c r="AD10" s="124">
        <f>IF(AND($E10&lt;&gt;"",$E10&gt;=AD$4,$E10&lt;AD$4+7),"◆","")</f>
        <v/>
      </c>
      <c r="AE10" s="124">
        <f>IF(AND($E10&lt;&gt;"",$E10&gt;=AE$4,$E10&lt;AE$4+7),"◆","")</f>
        <v/>
      </c>
      <c r="AF10" s="124">
        <f>IF(AND($E10&lt;&gt;"",$E10&gt;=AF$4,$E10&lt;AF$4+7),"◆","")</f>
        <v/>
      </c>
      <c r="AG10" s="124">
        <f>IF(AND($E10&lt;&gt;"",$E10&gt;=AG$4,$E10&lt;AG$4+7),"◆","")</f>
        <v/>
      </c>
      <c r="AH10" s="124">
        <f>IF(AND($E10&lt;&gt;"",$E10&gt;=AH$4,$E10&lt;AH$4+7),"◆","")</f>
        <v/>
      </c>
      <c r="AI10" s="124">
        <f>IF(AND($E10&lt;&gt;"",$E10&gt;=AI$4,$E10&lt;AI$4+7),"◆","")</f>
        <v/>
      </c>
      <c r="AJ10" s="124">
        <f>IF(AND($E10&lt;&gt;"",$E10&gt;=AJ$4,$E10&lt;AJ$4+7),"◆","")</f>
        <v/>
      </c>
    </row>
    <row r="11">
      <c r="A11" s="121">
        <f>'אבני דרך'!A9</f>
        <v/>
      </c>
      <c r="B11" s="122">
        <f>'אבני דרך'!B9</f>
        <v/>
      </c>
      <c r="C11" s="122" t="n"/>
      <c r="D11" s="122">
        <f>'אבני דרך'!G9</f>
        <v/>
      </c>
      <c r="E11" s="123">
        <f>'אבני דרך'!E9</f>
        <v/>
      </c>
      <c r="F11" s="123">
        <f>'אבני דרך'!E9</f>
        <v/>
      </c>
      <c r="G11" s="124">
        <f>IF(AND($E11&lt;&gt;"",$E11&gt;=G$4,$E11&lt;G$4+7),"◆","")</f>
        <v/>
      </c>
      <c r="H11" s="124">
        <f>IF(AND($E11&lt;&gt;"",$E11&gt;=H$4,$E11&lt;H$4+7),"◆","")</f>
        <v/>
      </c>
      <c r="I11" s="124">
        <f>IF(AND($E11&lt;&gt;"",$E11&gt;=I$4,$E11&lt;I$4+7),"◆","")</f>
        <v/>
      </c>
      <c r="J11" s="124">
        <f>IF(AND($E11&lt;&gt;"",$E11&gt;=J$4,$E11&lt;J$4+7),"◆","")</f>
        <v/>
      </c>
      <c r="K11" s="124">
        <f>IF(AND($E11&lt;&gt;"",$E11&gt;=K$4,$E11&lt;K$4+7),"◆","")</f>
        <v/>
      </c>
      <c r="L11" s="124">
        <f>IF(AND($E11&lt;&gt;"",$E11&gt;=L$4,$E11&lt;L$4+7),"◆","")</f>
        <v/>
      </c>
      <c r="M11" s="124">
        <f>IF(AND($E11&lt;&gt;"",$E11&gt;=M$4,$E11&lt;M$4+7),"◆","")</f>
        <v/>
      </c>
      <c r="N11" s="124">
        <f>IF(AND($E11&lt;&gt;"",$E11&gt;=N$4,$E11&lt;N$4+7),"◆","")</f>
        <v/>
      </c>
      <c r="O11" s="124">
        <f>IF(AND($E11&lt;&gt;"",$E11&gt;=O$4,$E11&lt;O$4+7),"◆","")</f>
        <v/>
      </c>
      <c r="P11" s="124">
        <f>IF(AND($E11&lt;&gt;"",$E11&gt;=P$4,$E11&lt;P$4+7),"◆","")</f>
        <v/>
      </c>
      <c r="Q11" s="124">
        <f>IF(AND($E11&lt;&gt;"",$E11&gt;=Q$4,$E11&lt;Q$4+7),"◆","")</f>
        <v/>
      </c>
      <c r="R11" s="124">
        <f>IF(AND($E11&lt;&gt;"",$E11&gt;=R$4,$E11&lt;R$4+7),"◆","")</f>
        <v/>
      </c>
      <c r="S11" s="124">
        <f>IF(AND($E11&lt;&gt;"",$E11&gt;=S$4,$E11&lt;S$4+7),"◆","")</f>
        <v/>
      </c>
      <c r="T11" s="124">
        <f>IF(AND($E11&lt;&gt;"",$E11&gt;=T$4,$E11&lt;T$4+7),"◆","")</f>
        <v/>
      </c>
      <c r="U11" s="124">
        <f>IF(AND($E11&lt;&gt;"",$E11&gt;=U$4,$E11&lt;U$4+7),"◆","")</f>
        <v/>
      </c>
      <c r="V11" s="124">
        <f>IF(AND($E11&lt;&gt;"",$E11&gt;=V$4,$E11&lt;V$4+7),"◆","")</f>
        <v/>
      </c>
      <c r="W11" s="124">
        <f>IF(AND($E11&lt;&gt;"",$E11&gt;=W$4,$E11&lt;W$4+7),"◆","")</f>
        <v/>
      </c>
      <c r="X11" s="124">
        <f>IF(AND($E11&lt;&gt;"",$E11&gt;=X$4,$E11&lt;X$4+7),"◆","")</f>
        <v/>
      </c>
      <c r="Y11" s="124">
        <f>IF(AND($E11&lt;&gt;"",$E11&gt;=Y$4,$E11&lt;Y$4+7),"◆","")</f>
        <v/>
      </c>
      <c r="Z11" s="124">
        <f>IF(AND($E11&lt;&gt;"",$E11&gt;=Z$4,$E11&lt;Z$4+7),"◆","")</f>
        <v/>
      </c>
      <c r="AA11" s="124">
        <f>IF(AND($E11&lt;&gt;"",$E11&gt;=AA$4,$E11&lt;AA$4+7),"◆","")</f>
        <v/>
      </c>
      <c r="AB11" s="124">
        <f>IF(AND($E11&lt;&gt;"",$E11&gt;=AB$4,$E11&lt;AB$4+7),"◆","")</f>
        <v/>
      </c>
      <c r="AC11" s="124">
        <f>IF(AND($E11&lt;&gt;"",$E11&gt;=AC$4,$E11&lt;AC$4+7),"◆","")</f>
        <v/>
      </c>
      <c r="AD11" s="124">
        <f>IF(AND($E11&lt;&gt;"",$E11&gt;=AD$4,$E11&lt;AD$4+7),"◆","")</f>
        <v/>
      </c>
      <c r="AE11" s="124">
        <f>IF(AND($E11&lt;&gt;"",$E11&gt;=AE$4,$E11&lt;AE$4+7),"◆","")</f>
        <v/>
      </c>
      <c r="AF11" s="124">
        <f>IF(AND($E11&lt;&gt;"",$E11&gt;=AF$4,$E11&lt;AF$4+7),"◆","")</f>
        <v/>
      </c>
      <c r="AG11" s="124">
        <f>IF(AND($E11&lt;&gt;"",$E11&gt;=AG$4,$E11&lt;AG$4+7),"◆","")</f>
        <v/>
      </c>
      <c r="AH11" s="124">
        <f>IF(AND($E11&lt;&gt;"",$E11&gt;=AH$4,$E11&lt;AH$4+7),"◆","")</f>
        <v/>
      </c>
      <c r="AI11" s="124">
        <f>IF(AND($E11&lt;&gt;"",$E11&gt;=AI$4,$E11&lt;AI$4+7),"◆","")</f>
        <v/>
      </c>
      <c r="AJ11" s="124">
        <f>IF(AND($E11&lt;&gt;"",$E11&gt;=AJ$4,$E11&lt;AJ$4+7),"◆","")</f>
        <v/>
      </c>
    </row>
    <row r="12">
      <c r="A12" s="121">
        <f>'אבני דרך'!A10</f>
        <v/>
      </c>
      <c r="B12" s="122">
        <f>'אבני דרך'!B10</f>
        <v/>
      </c>
      <c r="C12" s="122" t="n"/>
      <c r="D12" s="122">
        <f>'אבני דרך'!G10</f>
        <v/>
      </c>
      <c r="E12" s="123">
        <f>'אבני דרך'!E10</f>
        <v/>
      </c>
      <c r="F12" s="123">
        <f>'אבני דרך'!E10</f>
        <v/>
      </c>
      <c r="G12" s="124">
        <f>IF(AND($E12&lt;&gt;"",$E12&gt;=G$4,$E12&lt;G$4+7),"◆","")</f>
        <v/>
      </c>
      <c r="H12" s="124">
        <f>IF(AND($E12&lt;&gt;"",$E12&gt;=H$4,$E12&lt;H$4+7),"◆","")</f>
        <v/>
      </c>
      <c r="I12" s="124">
        <f>IF(AND($E12&lt;&gt;"",$E12&gt;=I$4,$E12&lt;I$4+7),"◆","")</f>
        <v/>
      </c>
      <c r="J12" s="124">
        <f>IF(AND($E12&lt;&gt;"",$E12&gt;=J$4,$E12&lt;J$4+7),"◆","")</f>
        <v/>
      </c>
      <c r="K12" s="124">
        <f>IF(AND($E12&lt;&gt;"",$E12&gt;=K$4,$E12&lt;K$4+7),"◆","")</f>
        <v/>
      </c>
      <c r="L12" s="124">
        <f>IF(AND($E12&lt;&gt;"",$E12&gt;=L$4,$E12&lt;L$4+7),"◆","")</f>
        <v/>
      </c>
      <c r="M12" s="124">
        <f>IF(AND($E12&lt;&gt;"",$E12&gt;=M$4,$E12&lt;M$4+7),"◆","")</f>
        <v/>
      </c>
      <c r="N12" s="124">
        <f>IF(AND($E12&lt;&gt;"",$E12&gt;=N$4,$E12&lt;N$4+7),"◆","")</f>
        <v/>
      </c>
      <c r="O12" s="124">
        <f>IF(AND($E12&lt;&gt;"",$E12&gt;=O$4,$E12&lt;O$4+7),"◆","")</f>
        <v/>
      </c>
      <c r="P12" s="124">
        <f>IF(AND($E12&lt;&gt;"",$E12&gt;=P$4,$E12&lt;P$4+7),"◆","")</f>
        <v/>
      </c>
      <c r="Q12" s="124">
        <f>IF(AND($E12&lt;&gt;"",$E12&gt;=Q$4,$E12&lt;Q$4+7),"◆","")</f>
        <v/>
      </c>
      <c r="R12" s="124">
        <f>IF(AND($E12&lt;&gt;"",$E12&gt;=R$4,$E12&lt;R$4+7),"◆","")</f>
        <v/>
      </c>
      <c r="S12" s="124">
        <f>IF(AND($E12&lt;&gt;"",$E12&gt;=S$4,$E12&lt;S$4+7),"◆","")</f>
        <v/>
      </c>
      <c r="T12" s="124">
        <f>IF(AND($E12&lt;&gt;"",$E12&gt;=T$4,$E12&lt;T$4+7),"◆","")</f>
        <v/>
      </c>
      <c r="U12" s="124">
        <f>IF(AND($E12&lt;&gt;"",$E12&gt;=U$4,$E12&lt;U$4+7),"◆","")</f>
        <v/>
      </c>
      <c r="V12" s="124">
        <f>IF(AND($E12&lt;&gt;"",$E12&gt;=V$4,$E12&lt;V$4+7),"◆","")</f>
        <v/>
      </c>
      <c r="W12" s="124">
        <f>IF(AND($E12&lt;&gt;"",$E12&gt;=W$4,$E12&lt;W$4+7),"◆","")</f>
        <v/>
      </c>
      <c r="X12" s="124">
        <f>IF(AND($E12&lt;&gt;"",$E12&gt;=X$4,$E12&lt;X$4+7),"◆","")</f>
        <v/>
      </c>
      <c r="Y12" s="124">
        <f>IF(AND($E12&lt;&gt;"",$E12&gt;=Y$4,$E12&lt;Y$4+7),"◆","")</f>
        <v/>
      </c>
      <c r="Z12" s="124">
        <f>IF(AND($E12&lt;&gt;"",$E12&gt;=Z$4,$E12&lt;Z$4+7),"◆","")</f>
        <v/>
      </c>
      <c r="AA12" s="124">
        <f>IF(AND($E12&lt;&gt;"",$E12&gt;=AA$4,$E12&lt;AA$4+7),"◆","")</f>
        <v/>
      </c>
      <c r="AB12" s="124">
        <f>IF(AND($E12&lt;&gt;"",$E12&gt;=AB$4,$E12&lt;AB$4+7),"◆","")</f>
        <v/>
      </c>
      <c r="AC12" s="124">
        <f>IF(AND($E12&lt;&gt;"",$E12&gt;=AC$4,$E12&lt;AC$4+7),"◆","")</f>
        <v/>
      </c>
      <c r="AD12" s="124">
        <f>IF(AND($E12&lt;&gt;"",$E12&gt;=AD$4,$E12&lt;AD$4+7),"◆","")</f>
        <v/>
      </c>
      <c r="AE12" s="124">
        <f>IF(AND($E12&lt;&gt;"",$E12&gt;=AE$4,$E12&lt;AE$4+7),"◆","")</f>
        <v/>
      </c>
      <c r="AF12" s="124">
        <f>IF(AND($E12&lt;&gt;"",$E12&gt;=AF$4,$E12&lt;AF$4+7),"◆","")</f>
        <v/>
      </c>
      <c r="AG12" s="124">
        <f>IF(AND($E12&lt;&gt;"",$E12&gt;=AG$4,$E12&lt;AG$4+7),"◆","")</f>
        <v/>
      </c>
      <c r="AH12" s="124">
        <f>IF(AND($E12&lt;&gt;"",$E12&gt;=AH$4,$E12&lt;AH$4+7),"◆","")</f>
        <v/>
      </c>
      <c r="AI12" s="124">
        <f>IF(AND($E12&lt;&gt;"",$E12&gt;=AI$4,$E12&lt;AI$4+7),"◆","")</f>
        <v/>
      </c>
      <c r="AJ12" s="124">
        <f>IF(AND($E12&lt;&gt;"",$E12&gt;=AJ$4,$E12&lt;AJ$4+7),"◆","")</f>
        <v/>
      </c>
    </row>
    <row r="13">
      <c r="A13" s="121">
        <f>'אבני דרך'!A11</f>
        <v/>
      </c>
      <c r="B13" s="122">
        <f>'אבני דרך'!B11</f>
        <v/>
      </c>
      <c r="C13" s="122" t="n"/>
      <c r="D13" s="122">
        <f>'אבני דרך'!G11</f>
        <v/>
      </c>
      <c r="E13" s="123">
        <f>'אבני דרך'!E11</f>
        <v/>
      </c>
      <c r="F13" s="123">
        <f>'אבני דרך'!E11</f>
        <v/>
      </c>
      <c r="G13" s="124">
        <f>IF(AND($E13&lt;&gt;"",$E13&gt;=G$4,$E13&lt;G$4+7),"◆","")</f>
        <v/>
      </c>
      <c r="H13" s="124">
        <f>IF(AND($E13&lt;&gt;"",$E13&gt;=H$4,$E13&lt;H$4+7),"◆","")</f>
        <v/>
      </c>
      <c r="I13" s="124">
        <f>IF(AND($E13&lt;&gt;"",$E13&gt;=I$4,$E13&lt;I$4+7),"◆","")</f>
        <v/>
      </c>
      <c r="J13" s="124">
        <f>IF(AND($E13&lt;&gt;"",$E13&gt;=J$4,$E13&lt;J$4+7),"◆","")</f>
        <v/>
      </c>
      <c r="K13" s="124">
        <f>IF(AND($E13&lt;&gt;"",$E13&gt;=K$4,$E13&lt;K$4+7),"◆","")</f>
        <v/>
      </c>
      <c r="L13" s="124">
        <f>IF(AND($E13&lt;&gt;"",$E13&gt;=L$4,$E13&lt;L$4+7),"◆","")</f>
        <v/>
      </c>
      <c r="M13" s="124">
        <f>IF(AND($E13&lt;&gt;"",$E13&gt;=M$4,$E13&lt;M$4+7),"◆","")</f>
        <v/>
      </c>
      <c r="N13" s="124">
        <f>IF(AND($E13&lt;&gt;"",$E13&gt;=N$4,$E13&lt;N$4+7),"◆","")</f>
        <v/>
      </c>
      <c r="O13" s="124">
        <f>IF(AND($E13&lt;&gt;"",$E13&gt;=O$4,$E13&lt;O$4+7),"◆","")</f>
        <v/>
      </c>
      <c r="P13" s="124">
        <f>IF(AND($E13&lt;&gt;"",$E13&gt;=P$4,$E13&lt;P$4+7),"◆","")</f>
        <v/>
      </c>
      <c r="Q13" s="124">
        <f>IF(AND($E13&lt;&gt;"",$E13&gt;=Q$4,$E13&lt;Q$4+7),"◆","")</f>
        <v/>
      </c>
      <c r="R13" s="124">
        <f>IF(AND($E13&lt;&gt;"",$E13&gt;=R$4,$E13&lt;R$4+7),"◆","")</f>
        <v/>
      </c>
      <c r="S13" s="124">
        <f>IF(AND($E13&lt;&gt;"",$E13&gt;=S$4,$E13&lt;S$4+7),"◆","")</f>
        <v/>
      </c>
      <c r="T13" s="124">
        <f>IF(AND($E13&lt;&gt;"",$E13&gt;=T$4,$E13&lt;T$4+7),"◆","")</f>
        <v/>
      </c>
      <c r="U13" s="124">
        <f>IF(AND($E13&lt;&gt;"",$E13&gt;=U$4,$E13&lt;U$4+7),"◆","")</f>
        <v/>
      </c>
      <c r="V13" s="124">
        <f>IF(AND($E13&lt;&gt;"",$E13&gt;=V$4,$E13&lt;V$4+7),"◆","")</f>
        <v/>
      </c>
      <c r="W13" s="124">
        <f>IF(AND($E13&lt;&gt;"",$E13&gt;=W$4,$E13&lt;W$4+7),"◆","")</f>
        <v/>
      </c>
      <c r="X13" s="124">
        <f>IF(AND($E13&lt;&gt;"",$E13&gt;=X$4,$E13&lt;X$4+7),"◆","")</f>
        <v/>
      </c>
      <c r="Y13" s="124">
        <f>IF(AND($E13&lt;&gt;"",$E13&gt;=Y$4,$E13&lt;Y$4+7),"◆","")</f>
        <v/>
      </c>
      <c r="Z13" s="124">
        <f>IF(AND($E13&lt;&gt;"",$E13&gt;=Z$4,$E13&lt;Z$4+7),"◆","")</f>
        <v/>
      </c>
      <c r="AA13" s="124">
        <f>IF(AND($E13&lt;&gt;"",$E13&gt;=AA$4,$E13&lt;AA$4+7),"◆","")</f>
        <v/>
      </c>
      <c r="AB13" s="124">
        <f>IF(AND($E13&lt;&gt;"",$E13&gt;=AB$4,$E13&lt;AB$4+7),"◆","")</f>
        <v/>
      </c>
      <c r="AC13" s="124">
        <f>IF(AND($E13&lt;&gt;"",$E13&gt;=AC$4,$E13&lt;AC$4+7),"◆","")</f>
        <v/>
      </c>
      <c r="AD13" s="124">
        <f>IF(AND($E13&lt;&gt;"",$E13&gt;=AD$4,$E13&lt;AD$4+7),"◆","")</f>
        <v/>
      </c>
      <c r="AE13" s="124">
        <f>IF(AND($E13&lt;&gt;"",$E13&gt;=AE$4,$E13&lt;AE$4+7),"◆","")</f>
        <v/>
      </c>
      <c r="AF13" s="124">
        <f>IF(AND($E13&lt;&gt;"",$E13&gt;=AF$4,$E13&lt;AF$4+7),"◆","")</f>
        <v/>
      </c>
      <c r="AG13" s="124">
        <f>IF(AND($E13&lt;&gt;"",$E13&gt;=AG$4,$E13&lt;AG$4+7),"◆","")</f>
        <v/>
      </c>
      <c r="AH13" s="124">
        <f>IF(AND($E13&lt;&gt;"",$E13&gt;=AH$4,$E13&lt;AH$4+7),"◆","")</f>
        <v/>
      </c>
      <c r="AI13" s="124">
        <f>IF(AND($E13&lt;&gt;"",$E13&gt;=AI$4,$E13&lt;AI$4+7),"◆","")</f>
        <v/>
      </c>
      <c r="AJ13" s="124">
        <f>IF(AND($E13&lt;&gt;"",$E13&gt;=AJ$4,$E13&lt;AJ$4+7),"◆","")</f>
        <v/>
      </c>
    </row>
    <row r="14">
      <c r="A14" s="121">
        <f>'אבני דרך'!A12</f>
        <v/>
      </c>
      <c r="B14" s="122">
        <f>'אבני דרך'!B12</f>
        <v/>
      </c>
      <c r="C14" s="122" t="n"/>
      <c r="D14" s="122">
        <f>'אבני דרך'!G12</f>
        <v/>
      </c>
      <c r="E14" s="123">
        <f>'אבני דרך'!E12</f>
        <v/>
      </c>
      <c r="F14" s="123">
        <f>'אבני דרך'!E12</f>
        <v/>
      </c>
      <c r="G14" s="124">
        <f>IF(AND($E14&lt;&gt;"",$E14&gt;=G$4,$E14&lt;G$4+7),"◆","")</f>
        <v/>
      </c>
      <c r="H14" s="124">
        <f>IF(AND($E14&lt;&gt;"",$E14&gt;=H$4,$E14&lt;H$4+7),"◆","")</f>
        <v/>
      </c>
      <c r="I14" s="124">
        <f>IF(AND($E14&lt;&gt;"",$E14&gt;=I$4,$E14&lt;I$4+7),"◆","")</f>
        <v/>
      </c>
      <c r="J14" s="124">
        <f>IF(AND($E14&lt;&gt;"",$E14&gt;=J$4,$E14&lt;J$4+7),"◆","")</f>
        <v/>
      </c>
      <c r="K14" s="124">
        <f>IF(AND($E14&lt;&gt;"",$E14&gt;=K$4,$E14&lt;K$4+7),"◆","")</f>
        <v/>
      </c>
      <c r="L14" s="124">
        <f>IF(AND($E14&lt;&gt;"",$E14&gt;=L$4,$E14&lt;L$4+7),"◆","")</f>
        <v/>
      </c>
      <c r="M14" s="124">
        <f>IF(AND($E14&lt;&gt;"",$E14&gt;=M$4,$E14&lt;M$4+7),"◆","")</f>
        <v/>
      </c>
      <c r="N14" s="124">
        <f>IF(AND($E14&lt;&gt;"",$E14&gt;=N$4,$E14&lt;N$4+7),"◆","")</f>
        <v/>
      </c>
      <c r="O14" s="124">
        <f>IF(AND($E14&lt;&gt;"",$E14&gt;=O$4,$E14&lt;O$4+7),"◆","")</f>
        <v/>
      </c>
      <c r="P14" s="124">
        <f>IF(AND($E14&lt;&gt;"",$E14&gt;=P$4,$E14&lt;P$4+7),"◆","")</f>
        <v/>
      </c>
      <c r="Q14" s="124">
        <f>IF(AND($E14&lt;&gt;"",$E14&gt;=Q$4,$E14&lt;Q$4+7),"◆","")</f>
        <v/>
      </c>
      <c r="R14" s="124">
        <f>IF(AND($E14&lt;&gt;"",$E14&gt;=R$4,$E14&lt;R$4+7),"◆","")</f>
        <v/>
      </c>
      <c r="S14" s="124">
        <f>IF(AND($E14&lt;&gt;"",$E14&gt;=S$4,$E14&lt;S$4+7),"◆","")</f>
        <v/>
      </c>
      <c r="T14" s="124">
        <f>IF(AND($E14&lt;&gt;"",$E14&gt;=T$4,$E14&lt;T$4+7),"◆","")</f>
        <v/>
      </c>
      <c r="U14" s="124">
        <f>IF(AND($E14&lt;&gt;"",$E14&gt;=U$4,$E14&lt;U$4+7),"◆","")</f>
        <v/>
      </c>
      <c r="V14" s="124">
        <f>IF(AND($E14&lt;&gt;"",$E14&gt;=V$4,$E14&lt;V$4+7),"◆","")</f>
        <v/>
      </c>
      <c r="W14" s="124">
        <f>IF(AND($E14&lt;&gt;"",$E14&gt;=W$4,$E14&lt;W$4+7),"◆","")</f>
        <v/>
      </c>
      <c r="X14" s="124">
        <f>IF(AND($E14&lt;&gt;"",$E14&gt;=X$4,$E14&lt;X$4+7),"◆","")</f>
        <v/>
      </c>
      <c r="Y14" s="124">
        <f>IF(AND($E14&lt;&gt;"",$E14&gt;=Y$4,$E14&lt;Y$4+7),"◆","")</f>
        <v/>
      </c>
      <c r="Z14" s="124">
        <f>IF(AND($E14&lt;&gt;"",$E14&gt;=Z$4,$E14&lt;Z$4+7),"◆","")</f>
        <v/>
      </c>
      <c r="AA14" s="124">
        <f>IF(AND($E14&lt;&gt;"",$E14&gt;=AA$4,$E14&lt;AA$4+7),"◆","")</f>
        <v/>
      </c>
      <c r="AB14" s="124">
        <f>IF(AND($E14&lt;&gt;"",$E14&gt;=AB$4,$E14&lt;AB$4+7),"◆","")</f>
        <v/>
      </c>
      <c r="AC14" s="124">
        <f>IF(AND($E14&lt;&gt;"",$E14&gt;=AC$4,$E14&lt;AC$4+7),"◆","")</f>
        <v/>
      </c>
      <c r="AD14" s="124">
        <f>IF(AND($E14&lt;&gt;"",$E14&gt;=AD$4,$E14&lt;AD$4+7),"◆","")</f>
        <v/>
      </c>
      <c r="AE14" s="124">
        <f>IF(AND($E14&lt;&gt;"",$E14&gt;=AE$4,$E14&lt;AE$4+7),"◆","")</f>
        <v/>
      </c>
      <c r="AF14" s="124">
        <f>IF(AND($E14&lt;&gt;"",$E14&gt;=AF$4,$E14&lt;AF$4+7),"◆","")</f>
        <v/>
      </c>
      <c r="AG14" s="124">
        <f>IF(AND($E14&lt;&gt;"",$E14&gt;=AG$4,$E14&lt;AG$4+7),"◆","")</f>
        <v/>
      </c>
      <c r="AH14" s="124">
        <f>IF(AND($E14&lt;&gt;"",$E14&gt;=AH$4,$E14&lt;AH$4+7),"◆","")</f>
        <v/>
      </c>
      <c r="AI14" s="124">
        <f>IF(AND($E14&lt;&gt;"",$E14&gt;=AI$4,$E14&lt;AI$4+7),"◆","")</f>
        <v/>
      </c>
      <c r="AJ14" s="124">
        <f>IF(AND($E14&lt;&gt;"",$E14&gt;=AJ$4,$E14&lt;AJ$4+7),"◆","")</f>
        <v/>
      </c>
    </row>
    <row r="15">
      <c r="A15" s="121">
        <f>'אבני דרך'!A13</f>
        <v/>
      </c>
      <c r="B15" s="122">
        <f>'אבני דרך'!B13</f>
        <v/>
      </c>
      <c r="C15" s="122" t="n"/>
      <c r="D15" s="122">
        <f>'אבני דרך'!G13</f>
        <v/>
      </c>
      <c r="E15" s="123">
        <f>'אבני דרך'!E13</f>
        <v/>
      </c>
      <c r="F15" s="123">
        <f>'אבני דרך'!E13</f>
        <v/>
      </c>
      <c r="G15" s="124">
        <f>IF(AND($E15&lt;&gt;"",$E15&gt;=G$4,$E15&lt;G$4+7),"◆","")</f>
        <v/>
      </c>
      <c r="H15" s="124">
        <f>IF(AND($E15&lt;&gt;"",$E15&gt;=H$4,$E15&lt;H$4+7),"◆","")</f>
        <v/>
      </c>
      <c r="I15" s="124">
        <f>IF(AND($E15&lt;&gt;"",$E15&gt;=I$4,$E15&lt;I$4+7),"◆","")</f>
        <v/>
      </c>
      <c r="J15" s="124">
        <f>IF(AND($E15&lt;&gt;"",$E15&gt;=J$4,$E15&lt;J$4+7),"◆","")</f>
        <v/>
      </c>
      <c r="K15" s="124">
        <f>IF(AND($E15&lt;&gt;"",$E15&gt;=K$4,$E15&lt;K$4+7),"◆","")</f>
        <v/>
      </c>
      <c r="L15" s="124">
        <f>IF(AND($E15&lt;&gt;"",$E15&gt;=L$4,$E15&lt;L$4+7),"◆","")</f>
        <v/>
      </c>
      <c r="M15" s="124">
        <f>IF(AND($E15&lt;&gt;"",$E15&gt;=M$4,$E15&lt;M$4+7),"◆","")</f>
        <v/>
      </c>
      <c r="N15" s="124">
        <f>IF(AND($E15&lt;&gt;"",$E15&gt;=N$4,$E15&lt;N$4+7),"◆","")</f>
        <v/>
      </c>
      <c r="O15" s="124">
        <f>IF(AND($E15&lt;&gt;"",$E15&gt;=O$4,$E15&lt;O$4+7),"◆","")</f>
        <v/>
      </c>
      <c r="P15" s="124">
        <f>IF(AND($E15&lt;&gt;"",$E15&gt;=P$4,$E15&lt;P$4+7),"◆","")</f>
        <v/>
      </c>
      <c r="Q15" s="124">
        <f>IF(AND($E15&lt;&gt;"",$E15&gt;=Q$4,$E15&lt;Q$4+7),"◆","")</f>
        <v/>
      </c>
      <c r="R15" s="124">
        <f>IF(AND($E15&lt;&gt;"",$E15&gt;=R$4,$E15&lt;R$4+7),"◆","")</f>
        <v/>
      </c>
      <c r="S15" s="124">
        <f>IF(AND($E15&lt;&gt;"",$E15&gt;=S$4,$E15&lt;S$4+7),"◆","")</f>
        <v/>
      </c>
      <c r="T15" s="124">
        <f>IF(AND($E15&lt;&gt;"",$E15&gt;=T$4,$E15&lt;T$4+7),"◆","")</f>
        <v/>
      </c>
      <c r="U15" s="124">
        <f>IF(AND($E15&lt;&gt;"",$E15&gt;=U$4,$E15&lt;U$4+7),"◆","")</f>
        <v/>
      </c>
      <c r="V15" s="124">
        <f>IF(AND($E15&lt;&gt;"",$E15&gt;=V$4,$E15&lt;V$4+7),"◆","")</f>
        <v/>
      </c>
      <c r="W15" s="124">
        <f>IF(AND($E15&lt;&gt;"",$E15&gt;=W$4,$E15&lt;W$4+7),"◆","")</f>
        <v/>
      </c>
      <c r="X15" s="124">
        <f>IF(AND($E15&lt;&gt;"",$E15&gt;=X$4,$E15&lt;X$4+7),"◆","")</f>
        <v/>
      </c>
      <c r="Y15" s="124">
        <f>IF(AND($E15&lt;&gt;"",$E15&gt;=Y$4,$E15&lt;Y$4+7),"◆","")</f>
        <v/>
      </c>
      <c r="Z15" s="124">
        <f>IF(AND($E15&lt;&gt;"",$E15&gt;=Z$4,$E15&lt;Z$4+7),"◆","")</f>
        <v/>
      </c>
      <c r="AA15" s="124">
        <f>IF(AND($E15&lt;&gt;"",$E15&gt;=AA$4,$E15&lt;AA$4+7),"◆","")</f>
        <v/>
      </c>
      <c r="AB15" s="124">
        <f>IF(AND($E15&lt;&gt;"",$E15&gt;=AB$4,$E15&lt;AB$4+7),"◆","")</f>
        <v/>
      </c>
      <c r="AC15" s="124">
        <f>IF(AND($E15&lt;&gt;"",$E15&gt;=AC$4,$E15&lt;AC$4+7),"◆","")</f>
        <v/>
      </c>
      <c r="AD15" s="124">
        <f>IF(AND($E15&lt;&gt;"",$E15&gt;=AD$4,$E15&lt;AD$4+7),"◆","")</f>
        <v/>
      </c>
      <c r="AE15" s="124">
        <f>IF(AND($E15&lt;&gt;"",$E15&gt;=AE$4,$E15&lt;AE$4+7),"◆","")</f>
        <v/>
      </c>
      <c r="AF15" s="124">
        <f>IF(AND($E15&lt;&gt;"",$E15&gt;=AF$4,$E15&lt;AF$4+7),"◆","")</f>
        <v/>
      </c>
      <c r="AG15" s="124">
        <f>IF(AND($E15&lt;&gt;"",$E15&gt;=AG$4,$E15&lt;AG$4+7),"◆","")</f>
        <v/>
      </c>
      <c r="AH15" s="124">
        <f>IF(AND($E15&lt;&gt;"",$E15&gt;=AH$4,$E15&lt;AH$4+7),"◆","")</f>
        <v/>
      </c>
      <c r="AI15" s="124">
        <f>IF(AND($E15&lt;&gt;"",$E15&gt;=AI$4,$E15&lt;AI$4+7),"◆","")</f>
        <v/>
      </c>
      <c r="AJ15" s="124">
        <f>IF(AND($E15&lt;&gt;"",$E15&gt;=AJ$4,$E15&lt;AJ$4+7),"◆","")</f>
        <v/>
      </c>
    </row>
    <row r="16">
      <c r="A16" s="121">
        <f>'אבני דרך'!A14</f>
        <v/>
      </c>
      <c r="B16" s="122">
        <f>'אבני דרך'!B14</f>
        <v/>
      </c>
      <c r="C16" s="122" t="n"/>
      <c r="D16" s="122">
        <f>'אבני דרך'!G14</f>
        <v/>
      </c>
      <c r="E16" s="123">
        <f>'אבני דרך'!E14</f>
        <v/>
      </c>
      <c r="F16" s="123">
        <f>'אבני דרך'!E14</f>
        <v/>
      </c>
      <c r="G16" s="124">
        <f>IF(AND($E16&lt;&gt;"",$E16&gt;=G$4,$E16&lt;G$4+7),"◆","")</f>
        <v/>
      </c>
      <c r="H16" s="124">
        <f>IF(AND($E16&lt;&gt;"",$E16&gt;=H$4,$E16&lt;H$4+7),"◆","")</f>
        <v/>
      </c>
      <c r="I16" s="124">
        <f>IF(AND($E16&lt;&gt;"",$E16&gt;=I$4,$E16&lt;I$4+7),"◆","")</f>
        <v/>
      </c>
      <c r="J16" s="124">
        <f>IF(AND($E16&lt;&gt;"",$E16&gt;=J$4,$E16&lt;J$4+7),"◆","")</f>
        <v/>
      </c>
      <c r="K16" s="124">
        <f>IF(AND($E16&lt;&gt;"",$E16&gt;=K$4,$E16&lt;K$4+7),"◆","")</f>
        <v/>
      </c>
      <c r="L16" s="124">
        <f>IF(AND($E16&lt;&gt;"",$E16&gt;=L$4,$E16&lt;L$4+7),"◆","")</f>
        <v/>
      </c>
      <c r="M16" s="124">
        <f>IF(AND($E16&lt;&gt;"",$E16&gt;=M$4,$E16&lt;M$4+7),"◆","")</f>
        <v/>
      </c>
      <c r="N16" s="124">
        <f>IF(AND($E16&lt;&gt;"",$E16&gt;=N$4,$E16&lt;N$4+7),"◆","")</f>
        <v/>
      </c>
      <c r="O16" s="124">
        <f>IF(AND($E16&lt;&gt;"",$E16&gt;=O$4,$E16&lt;O$4+7),"◆","")</f>
        <v/>
      </c>
      <c r="P16" s="124">
        <f>IF(AND($E16&lt;&gt;"",$E16&gt;=P$4,$E16&lt;P$4+7),"◆","")</f>
        <v/>
      </c>
      <c r="Q16" s="124">
        <f>IF(AND($E16&lt;&gt;"",$E16&gt;=Q$4,$E16&lt;Q$4+7),"◆","")</f>
        <v/>
      </c>
      <c r="R16" s="124">
        <f>IF(AND($E16&lt;&gt;"",$E16&gt;=R$4,$E16&lt;R$4+7),"◆","")</f>
        <v/>
      </c>
      <c r="S16" s="124">
        <f>IF(AND($E16&lt;&gt;"",$E16&gt;=S$4,$E16&lt;S$4+7),"◆","")</f>
        <v/>
      </c>
      <c r="T16" s="124">
        <f>IF(AND($E16&lt;&gt;"",$E16&gt;=T$4,$E16&lt;T$4+7),"◆","")</f>
        <v/>
      </c>
      <c r="U16" s="124">
        <f>IF(AND($E16&lt;&gt;"",$E16&gt;=U$4,$E16&lt;U$4+7),"◆","")</f>
        <v/>
      </c>
      <c r="V16" s="124">
        <f>IF(AND($E16&lt;&gt;"",$E16&gt;=V$4,$E16&lt;V$4+7),"◆","")</f>
        <v/>
      </c>
      <c r="W16" s="124">
        <f>IF(AND($E16&lt;&gt;"",$E16&gt;=W$4,$E16&lt;W$4+7),"◆","")</f>
        <v/>
      </c>
      <c r="X16" s="124">
        <f>IF(AND($E16&lt;&gt;"",$E16&gt;=X$4,$E16&lt;X$4+7),"◆","")</f>
        <v/>
      </c>
      <c r="Y16" s="124">
        <f>IF(AND($E16&lt;&gt;"",$E16&gt;=Y$4,$E16&lt;Y$4+7),"◆","")</f>
        <v/>
      </c>
      <c r="Z16" s="124">
        <f>IF(AND($E16&lt;&gt;"",$E16&gt;=Z$4,$E16&lt;Z$4+7),"◆","")</f>
        <v/>
      </c>
      <c r="AA16" s="124">
        <f>IF(AND($E16&lt;&gt;"",$E16&gt;=AA$4,$E16&lt;AA$4+7),"◆","")</f>
        <v/>
      </c>
      <c r="AB16" s="124">
        <f>IF(AND($E16&lt;&gt;"",$E16&gt;=AB$4,$E16&lt;AB$4+7),"◆","")</f>
        <v/>
      </c>
      <c r="AC16" s="124">
        <f>IF(AND($E16&lt;&gt;"",$E16&gt;=AC$4,$E16&lt;AC$4+7),"◆","")</f>
        <v/>
      </c>
      <c r="AD16" s="124">
        <f>IF(AND($E16&lt;&gt;"",$E16&gt;=AD$4,$E16&lt;AD$4+7),"◆","")</f>
        <v/>
      </c>
      <c r="AE16" s="124">
        <f>IF(AND($E16&lt;&gt;"",$E16&gt;=AE$4,$E16&lt;AE$4+7),"◆","")</f>
        <v/>
      </c>
      <c r="AF16" s="124">
        <f>IF(AND($E16&lt;&gt;"",$E16&gt;=AF$4,$E16&lt;AF$4+7),"◆","")</f>
        <v/>
      </c>
      <c r="AG16" s="124">
        <f>IF(AND($E16&lt;&gt;"",$E16&gt;=AG$4,$E16&lt;AG$4+7),"◆","")</f>
        <v/>
      </c>
      <c r="AH16" s="124">
        <f>IF(AND($E16&lt;&gt;"",$E16&gt;=AH$4,$E16&lt;AH$4+7),"◆","")</f>
        <v/>
      </c>
      <c r="AI16" s="124">
        <f>IF(AND($E16&lt;&gt;"",$E16&gt;=AI$4,$E16&lt;AI$4+7),"◆","")</f>
        <v/>
      </c>
      <c r="AJ16" s="124">
        <f>IF(AND($E16&lt;&gt;"",$E16&gt;=AJ$4,$E16&lt;AJ$4+7),"◆","")</f>
        <v/>
      </c>
    </row>
    <row r="17">
      <c r="A17" s="121">
        <f>'אבני דרך'!A15</f>
        <v/>
      </c>
      <c r="B17" s="122">
        <f>'אבני דרך'!B15</f>
        <v/>
      </c>
      <c r="C17" s="122" t="n"/>
      <c r="D17" s="122">
        <f>'אבני דרך'!G15</f>
        <v/>
      </c>
      <c r="E17" s="123">
        <f>'אבני דרך'!E15</f>
        <v/>
      </c>
      <c r="F17" s="123">
        <f>'אבני דרך'!E15</f>
        <v/>
      </c>
      <c r="G17" s="124">
        <f>IF(AND($E17&lt;&gt;"",$E17&gt;=G$4,$E17&lt;G$4+7),"◆","")</f>
        <v/>
      </c>
      <c r="H17" s="124">
        <f>IF(AND($E17&lt;&gt;"",$E17&gt;=H$4,$E17&lt;H$4+7),"◆","")</f>
        <v/>
      </c>
      <c r="I17" s="124">
        <f>IF(AND($E17&lt;&gt;"",$E17&gt;=I$4,$E17&lt;I$4+7),"◆","")</f>
        <v/>
      </c>
      <c r="J17" s="124">
        <f>IF(AND($E17&lt;&gt;"",$E17&gt;=J$4,$E17&lt;J$4+7),"◆","")</f>
        <v/>
      </c>
      <c r="K17" s="124">
        <f>IF(AND($E17&lt;&gt;"",$E17&gt;=K$4,$E17&lt;K$4+7),"◆","")</f>
        <v/>
      </c>
      <c r="L17" s="124">
        <f>IF(AND($E17&lt;&gt;"",$E17&gt;=L$4,$E17&lt;L$4+7),"◆","")</f>
        <v/>
      </c>
      <c r="M17" s="124">
        <f>IF(AND($E17&lt;&gt;"",$E17&gt;=M$4,$E17&lt;M$4+7),"◆","")</f>
        <v/>
      </c>
      <c r="N17" s="124">
        <f>IF(AND($E17&lt;&gt;"",$E17&gt;=N$4,$E17&lt;N$4+7),"◆","")</f>
        <v/>
      </c>
      <c r="O17" s="124">
        <f>IF(AND($E17&lt;&gt;"",$E17&gt;=O$4,$E17&lt;O$4+7),"◆","")</f>
        <v/>
      </c>
      <c r="P17" s="124">
        <f>IF(AND($E17&lt;&gt;"",$E17&gt;=P$4,$E17&lt;P$4+7),"◆","")</f>
        <v/>
      </c>
      <c r="Q17" s="124">
        <f>IF(AND($E17&lt;&gt;"",$E17&gt;=Q$4,$E17&lt;Q$4+7),"◆","")</f>
        <v/>
      </c>
      <c r="R17" s="124">
        <f>IF(AND($E17&lt;&gt;"",$E17&gt;=R$4,$E17&lt;R$4+7),"◆","")</f>
        <v/>
      </c>
      <c r="S17" s="124">
        <f>IF(AND($E17&lt;&gt;"",$E17&gt;=S$4,$E17&lt;S$4+7),"◆","")</f>
        <v/>
      </c>
      <c r="T17" s="124">
        <f>IF(AND($E17&lt;&gt;"",$E17&gt;=T$4,$E17&lt;T$4+7),"◆","")</f>
        <v/>
      </c>
      <c r="U17" s="124">
        <f>IF(AND($E17&lt;&gt;"",$E17&gt;=U$4,$E17&lt;U$4+7),"◆","")</f>
        <v/>
      </c>
      <c r="V17" s="124">
        <f>IF(AND($E17&lt;&gt;"",$E17&gt;=V$4,$E17&lt;V$4+7),"◆","")</f>
        <v/>
      </c>
      <c r="W17" s="124">
        <f>IF(AND($E17&lt;&gt;"",$E17&gt;=W$4,$E17&lt;W$4+7),"◆","")</f>
        <v/>
      </c>
      <c r="X17" s="124">
        <f>IF(AND($E17&lt;&gt;"",$E17&gt;=X$4,$E17&lt;X$4+7),"◆","")</f>
        <v/>
      </c>
      <c r="Y17" s="124">
        <f>IF(AND($E17&lt;&gt;"",$E17&gt;=Y$4,$E17&lt;Y$4+7),"◆","")</f>
        <v/>
      </c>
      <c r="Z17" s="124">
        <f>IF(AND($E17&lt;&gt;"",$E17&gt;=Z$4,$E17&lt;Z$4+7),"◆","")</f>
        <v/>
      </c>
      <c r="AA17" s="124">
        <f>IF(AND($E17&lt;&gt;"",$E17&gt;=AA$4,$E17&lt;AA$4+7),"◆","")</f>
        <v/>
      </c>
      <c r="AB17" s="124">
        <f>IF(AND($E17&lt;&gt;"",$E17&gt;=AB$4,$E17&lt;AB$4+7),"◆","")</f>
        <v/>
      </c>
      <c r="AC17" s="124">
        <f>IF(AND($E17&lt;&gt;"",$E17&gt;=AC$4,$E17&lt;AC$4+7),"◆","")</f>
        <v/>
      </c>
      <c r="AD17" s="124">
        <f>IF(AND($E17&lt;&gt;"",$E17&gt;=AD$4,$E17&lt;AD$4+7),"◆","")</f>
        <v/>
      </c>
      <c r="AE17" s="124">
        <f>IF(AND($E17&lt;&gt;"",$E17&gt;=AE$4,$E17&lt;AE$4+7),"◆","")</f>
        <v/>
      </c>
      <c r="AF17" s="124">
        <f>IF(AND($E17&lt;&gt;"",$E17&gt;=AF$4,$E17&lt;AF$4+7),"◆","")</f>
        <v/>
      </c>
      <c r="AG17" s="124">
        <f>IF(AND($E17&lt;&gt;"",$E17&gt;=AG$4,$E17&lt;AG$4+7),"◆","")</f>
        <v/>
      </c>
      <c r="AH17" s="124">
        <f>IF(AND($E17&lt;&gt;"",$E17&gt;=AH$4,$E17&lt;AH$4+7),"◆","")</f>
        <v/>
      </c>
      <c r="AI17" s="124">
        <f>IF(AND($E17&lt;&gt;"",$E17&gt;=AI$4,$E17&lt;AI$4+7),"◆","")</f>
        <v/>
      </c>
      <c r="AJ17" s="124">
        <f>IF(AND($E17&lt;&gt;"",$E17&gt;=AJ$4,$E17&lt;AJ$4+7),"◆","")</f>
        <v/>
      </c>
    </row>
    <row r="18">
      <c r="A18" s="121">
        <f>'אבני דרך'!A16</f>
        <v/>
      </c>
      <c r="B18" s="122">
        <f>'אבני דרך'!B16</f>
        <v/>
      </c>
      <c r="C18" s="122" t="n"/>
      <c r="D18" s="122">
        <f>'אבני דרך'!G16</f>
        <v/>
      </c>
      <c r="E18" s="123">
        <f>'אבני דרך'!E16</f>
        <v/>
      </c>
      <c r="F18" s="123">
        <f>'אבני דרך'!E16</f>
        <v/>
      </c>
      <c r="G18" s="124">
        <f>IF(AND($E18&lt;&gt;"",$E18&gt;=G$4,$E18&lt;G$4+7),"◆","")</f>
        <v/>
      </c>
      <c r="H18" s="124">
        <f>IF(AND($E18&lt;&gt;"",$E18&gt;=H$4,$E18&lt;H$4+7),"◆","")</f>
        <v/>
      </c>
      <c r="I18" s="124">
        <f>IF(AND($E18&lt;&gt;"",$E18&gt;=I$4,$E18&lt;I$4+7),"◆","")</f>
        <v/>
      </c>
      <c r="J18" s="124">
        <f>IF(AND($E18&lt;&gt;"",$E18&gt;=J$4,$E18&lt;J$4+7),"◆","")</f>
        <v/>
      </c>
      <c r="K18" s="124">
        <f>IF(AND($E18&lt;&gt;"",$E18&gt;=K$4,$E18&lt;K$4+7),"◆","")</f>
        <v/>
      </c>
      <c r="L18" s="124">
        <f>IF(AND($E18&lt;&gt;"",$E18&gt;=L$4,$E18&lt;L$4+7),"◆","")</f>
        <v/>
      </c>
      <c r="M18" s="124">
        <f>IF(AND($E18&lt;&gt;"",$E18&gt;=M$4,$E18&lt;M$4+7),"◆","")</f>
        <v/>
      </c>
      <c r="N18" s="124">
        <f>IF(AND($E18&lt;&gt;"",$E18&gt;=N$4,$E18&lt;N$4+7),"◆","")</f>
        <v/>
      </c>
      <c r="O18" s="124">
        <f>IF(AND($E18&lt;&gt;"",$E18&gt;=O$4,$E18&lt;O$4+7),"◆","")</f>
        <v/>
      </c>
      <c r="P18" s="124">
        <f>IF(AND($E18&lt;&gt;"",$E18&gt;=P$4,$E18&lt;P$4+7),"◆","")</f>
        <v/>
      </c>
      <c r="Q18" s="124">
        <f>IF(AND($E18&lt;&gt;"",$E18&gt;=Q$4,$E18&lt;Q$4+7),"◆","")</f>
        <v/>
      </c>
      <c r="R18" s="124">
        <f>IF(AND($E18&lt;&gt;"",$E18&gt;=R$4,$E18&lt;R$4+7),"◆","")</f>
        <v/>
      </c>
      <c r="S18" s="124">
        <f>IF(AND($E18&lt;&gt;"",$E18&gt;=S$4,$E18&lt;S$4+7),"◆","")</f>
        <v/>
      </c>
      <c r="T18" s="124">
        <f>IF(AND($E18&lt;&gt;"",$E18&gt;=T$4,$E18&lt;T$4+7),"◆","")</f>
        <v/>
      </c>
      <c r="U18" s="124">
        <f>IF(AND($E18&lt;&gt;"",$E18&gt;=U$4,$E18&lt;U$4+7),"◆","")</f>
        <v/>
      </c>
      <c r="V18" s="124">
        <f>IF(AND($E18&lt;&gt;"",$E18&gt;=V$4,$E18&lt;V$4+7),"◆","")</f>
        <v/>
      </c>
      <c r="W18" s="124">
        <f>IF(AND($E18&lt;&gt;"",$E18&gt;=W$4,$E18&lt;W$4+7),"◆","")</f>
        <v/>
      </c>
      <c r="X18" s="124">
        <f>IF(AND($E18&lt;&gt;"",$E18&gt;=X$4,$E18&lt;X$4+7),"◆","")</f>
        <v/>
      </c>
      <c r="Y18" s="124">
        <f>IF(AND($E18&lt;&gt;"",$E18&gt;=Y$4,$E18&lt;Y$4+7),"◆","")</f>
        <v/>
      </c>
      <c r="Z18" s="124">
        <f>IF(AND($E18&lt;&gt;"",$E18&gt;=Z$4,$E18&lt;Z$4+7),"◆","")</f>
        <v/>
      </c>
      <c r="AA18" s="124">
        <f>IF(AND($E18&lt;&gt;"",$E18&gt;=AA$4,$E18&lt;AA$4+7),"◆","")</f>
        <v/>
      </c>
      <c r="AB18" s="124">
        <f>IF(AND($E18&lt;&gt;"",$E18&gt;=AB$4,$E18&lt;AB$4+7),"◆","")</f>
        <v/>
      </c>
      <c r="AC18" s="124">
        <f>IF(AND($E18&lt;&gt;"",$E18&gt;=AC$4,$E18&lt;AC$4+7),"◆","")</f>
        <v/>
      </c>
      <c r="AD18" s="124">
        <f>IF(AND($E18&lt;&gt;"",$E18&gt;=AD$4,$E18&lt;AD$4+7),"◆","")</f>
        <v/>
      </c>
      <c r="AE18" s="124">
        <f>IF(AND($E18&lt;&gt;"",$E18&gt;=AE$4,$E18&lt;AE$4+7),"◆","")</f>
        <v/>
      </c>
      <c r="AF18" s="124">
        <f>IF(AND($E18&lt;&gt;"",$E18&gt;=AF$4,$E18&lt;AF$4+7),"◆","")</f>
        <v/>
      </c>
      <c r="AG18" s="124">
        <f>IF(AND($E18&lt;&gt;"",$E18&gt;=AG$4,$E18&lt;AG$4+7),"◆","")</f>
        <v/>
      </c>
      <c r="AH18" s="124">
        <f>IF(AND($E18&lt;&gt;"",$E18&gt;=AH$4,$E18&lt;AH$4+7),"◆","")</f>
        <v/>
      </c>
      <c r="AI18" s="124">
        <f>IF(AND($E18&lt;&gt;"",$E18&gt;=AI$4,$E18&lt;AI$4+7),"◆","")</f>
        <v/>
      </c>
      <c r="AJ18" s="124">
        <f>IF(AND($E18&lt;&gt;"",$E18&gt;=AJ$4,$E18&lt;AJ$4+7),"◆","")</f>
        <v/>
      </c>
    </row>
    <row r="19">
      <c r="A19" s="125" t="inlineStr">
        <is>
          <t>📋 משימות (לפי סדר לשונית המשימות)</t>
        </is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</row>
    <row r="20">
      <c r="A20" s="126">
        <f>IF('משימות'!$A5="","",'משימות'!A5)</f>
        <v/>
      </c>
      <c r="B20" s="127">
        <f>IF('משימות'!$A5="","",'משימות'!C5)</f>
        <v/>
      </c>
      <c r="C20" s="127">
        <f>IF('משימות'!$A5="","",'משימות'!D5)</f>
        <v/>
      </c>
      <c r="D20" s="128">
        <f>IF('משימות'!$A5="","",'משימות'!G5)</f>
        <v/>
      </c>
      <c r="E20" s="129">
        <f>IF('משימות'!$A5="","",'משימות'!J5)</f>
        <v/>
      </c>
      <c r="F20" s="129">
        <f>IF('משימות'!$A5="","",'משימות'!K5)</f>
        <v/>
      </c>
      <c r="G20" s="130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  <c r="R20" s="130" t="n"/>
      <c r="S20" s="130" t="n"/>
      <c r="T20" s="130" t="n"/>
      <c r="U20" s="130" t="n"/>
      <c r="V20" s="130" t="n"/>
      <c r="W20" s="130" t="n"/>
      <c r="X20" s="130" t="n"/>
      <c r="Y20" s="130" t="n"/>
      <c r="Z20" s="130" t="n"/>
      <c r="AA20" s="130" t="n"/>
      <c r="AB20" s="130" t="n"/>
      <c r="AC20" s="130" t="n"/>
      <c r="AD20" s="130" t="n"/>
      <c r="AE20" s="130" t="n"/>
      <c r="AF20" s="130" t="n"/>
      <c r="AG20" s="130" t="n"/>
      <c r="AH20" s="130" t="n"/>
      <c r="AI20" s="130" t="n"/>
      <c r="AJ20" s="130" t="n"/>
    </row>
    <row r="21">
      <c r="A21" s="126">
        <f>IF('משימות'!$A6="","",'משימות'!A6)</f>
        <v/>
      </c>
      <c r="B21" s="127">
        <f>IF('משימות'!$A6="","",'משימות'!C6)</f>
        <v/>
      </c>
      <c r="C21" s="127">
        <f>IF('משימות'!$A6="","",'משימות'!D6)</f>
        <v/>
      </c>
      <c r="D21" s="128">
        <f>IF('משימות'!$A6="","",'משימות'!G6)</f>
        <v/>
      </c>
      <c r="E21" s="129">
        <f>IF('משימות'!$A6="","",'משימות'!J6)</f>
        <v/>
      </c>
      <c r="F21" s="129">
        <f>IF('משימות'!$A6="","",'משימות'!K6)</f>
        <v/>
      </c>
      <c r="G21" s="130" t="n"/>
      <c r="H21" s="130" t="n"/>
      <c r="I21" s="130" t="n"/>
      <c r="J21" s="130" t="n"/>
      <c r="K21" s="130" t="n"/>
      <c r="L21" s="130" t="n"/>
      <c r="M21" s="130" t="n"/>
      <c r="N21" s="130" t="n"/>
      <c r="O21" s="130" t="n"/>
      <c r="P21" s="130" t="n"/>
      <c r="Q21" s="130" t="n"/>
      <c r="R21" s="130" t="n"/>
      <c r="S21" s="130" t="n"/>
      <c r="T21" s="130" t="n"/>
      <c r="U21" s="130" t="n"/>
      <c r="V21" s="130" t="n"/>
      <c r="W21" s="130" t="n"/>
      <c r="X21" s="130" t="n"/>
      <c r="Y21" s="130" t="n"/>
      <c r="Z21" s="130" t="n"/>
      <c r="AA21" s="130" t="n"/>
      <c r="AB21" s="130" t="n"/>
      <c r="AC21" s="130" t="n"/>
      <c r="AD21" s="130" t="n"/>
      <c r="AE21" s="130" t="n"/>
      <c r="AF21" s="130" t="n"/>
      <c r="AG21" s="130" t="n"/>
      <c r="AH21" s="130" t="n"/>
      <c r="AI21" s="130" t="n"/>
      <c r="AJ21" s="130" t="n"/>
    </row>
    <row r="22">
      <c r="A22" s="126">
        <f>IF('משימות'!$A7="","",'משימות'!A7)</f>
        <v/>
      </c>
      <c r="B22" s="127">
        <f>IF('משימות'!$A7="","",'משימות'!C7)</f>
        <v/>
      </c>
      <c r="C22" s="127">
        <f>IF('משימות'!$A7="","",'משימות'!D7)</f>
        <v/>
      </c>
      <c r="D22" s="128">
        <f>IF('משימות'!$A7="","",'משימות'!G7)</f>
        <v/>
      </c>
      <c r="E22" s="129">
        <f>IF('משימות'!$A7="","",'משימות'!J7)</f>
        <v/>
      </c>
      <c r="F22" s="129">
        <f>IF('משימות'!$A7="","",'משימות'!K7)</f>
        <v/>
      </c>
      <c r="G22" s="130" t="n"/>
      <c r="H22" s="130" t="n"/>
      <c r="I22" s="130" t="n"/>
      <c r="J22" s="130" t="n"/>
      <c r="K22" s="130" t="n"/>
      <c r="L22" s="130" t="n"/>
      <c r="M22" s="130" t="n"/>
      <c r="N22" s="130" t="n"/>
      <c r="O22" s="130" t="n"/>
      <c r="P22" s="130" t="n"/>
      <c r="Q22" s="130" t="n"/>
      <c r="R22" s="130" t="n"/>
      <c r="S22" s="130" t="n"/>
      <c r="T22" s="130" t="n"/>
      <c r="U22" s="130" t="n"/>
      <c r="V22" s="130" t="n"/>
      <c r="W22" s="130" t="n"/>
      <c r="X22" s="130" t="n"/>
      <c r="Y22" s="130" t="n"/>
      <c r="Z22" s="130" t="n"/>
      <c r="AA22" s="130" t="n"/>
      <c r="AB22" s="130" t="n"/>
      <c r="AC22" s="130" t="n"/>
      <c r="AD22" s="130" t="n"/>
      <c r="AE22" s="130" t="n"/>
      <c r="AF22" s="130" t="n"/>
      <c r="AG22" s="130" t="n"/>
      <c r="AH22" s="130" t="n"/>
      <c r="AI22" s="130" t="n"/>
      <c r="AJ22" s="130" t="n"/>
    </row>
    <row r="23">
      <c r="A23" s="126">
        <f>IF('משימות'!$A8="","",'משימות'!A8)</f>
        <v/>
      </c>
      <c r="B23" s="127">
        <f>IF('משימות'!$A8="","",'משימות'!C8)</f>
        <v/>
      </c>
      <c r="C23" s="127">
        <f>IF('משימות'!$A8="","",'משימות'!D8)</f>
        <v/>
      </c>
      <c r="D23" s="128">
        <f>IF('משימות'!$A8="","",'משימות'!G8)</f>
        <v/>
      </c>
      <c r="E23" s="129">
        <f>IF('משימות'!$A8="","",'משימות'!J8)</f>
        <v/>
      </c>
      <c r="F23" s="129">
        <f>IF('משימות'!$A8="","",'משימות'!K8)</f>
        <v/>
      </c>
      <c r="G23" s="130" t="n"/>
      <c r="H23" s="130" t="n"/>
      <c r="I23" s="130" t="n"/>
      <c r="J23" s="130" t="n"/>
      <c r="K23" s="130" t="n"/>
      <c r="L23" s="130" t="n"/>
      <c r="M23" s="130" t="n"/>
      <c r="N23" s="130" t="n"/>
      <c r="O23" s="130" t="n"/>
      <c r="P23" s="130" t="n"/>
      <c r="Q23" s="130" t="n"/>
      <c r="R23" s="130" t="n"/>
      <c r="S23" s="130" t="n"/>
      <c r="T23" s="130" t="n"/>
      <c r="U23" s="130" t="n"/>
      <c r="V23" s="130" t="n"/>
      <c r="W23" s="130" t="n"/>
      <c r="X23" s="130" t="n"/>
      <c r="Y23" s="130" t="n"/>
      <c r="Z23" s="130" t="n"/>
      <c r="AA23" s="130" t="n"/>
      <c r="AB23" s="130" t="n"/>
      <c r="AC23" s="130" t="n"/>
      <c r="AD23" s="130" t="n"/>
      <c r="AE23" s="130" t="n"/>
      <c r="AF23" s="130" t="n"/>
      <c r="AG23" s="130" t="n"/>
      <c r="AH23" s="130" t="n"/>
      <c r="AI23" s="130" t="n"/>
      <c r="AJ23" s="130" t="n"/>
    </row>
    <row r="24">
      <c r="A24" s="126">
        <f>IF('משימות'!$A9="","",'משימות'!A9)</f>
        <v/>
      </c>
      <c r="B24" s="127">
        <f>IF('משימות'!$A9="","",'משימות'!C9)</f>
        <v/>
      </c>
      <c r="C24" s="127">
        <f>IF('משימות'!$A9="","",'משימות'!D9)</f>
        <v/>
      </c>
      <c r="D24" s="128">
        <f>IF('משימות'!$A9="","",'משימות'!G9)</f>
        <v/>
      </c>
      <c r="E24" s="129">
        <f>IF('משימות'!$A9="","",'משימות'!J9)</f>
        <v/>
      </c>
      <c r="F24" s="129">
        <f>IF('משימות'!$A9="","",'משימות'!K9)</f>
        <v/>
      </c>
      <c r="G24" s="130" t="n"/>
      <c r="H24" s="130" t="n"/>
      <c r="I24" s="130" t="n"/>
      <c r="J24" s="130" t="n"/>
      <c r="K24" s="130" t="n"/>
      <c r="L24" s="130" t="n"/>
      <c r="M24" s="130" t="n"/>
      <c r="N24" s="130" t="n"/>
      <c r="O24" s="130" t="n"/>
      <c r="P24" s="130" t="n"/>
      <c r="Q24" s="130" t="n"/>
      <c r="R24" s="130" t="n"/>
      <c r="S24" s="130" t="n"/>
      <c r="T24" s="130" t="n"/>
      <c r="U24" s="130" t="n"/>
      <c r="V24" s="130" t="n"/>
      <c r="W24" s="130" t="n"/>
      <c r="X24" s="130" t="n"/>
      <c r="Y24" s="130" t="n"/>
      <c r="Z24" s="130" t="n"/>
      <c r="AA24" s="130" t="n"/>
      <c r="AB24" s="130" t="n"/>
      <c r="AC24" s="130" t="n"/>
      <c r="AD24" s="130" t="n"/>
      <c r="AE24" s="130" t="n"/>
      <c r="AF24" s="130" t="n"/>
      <c r="AG24" s="130" t="n"/>
      <c r="AH24" s="130" t="n"/>
      <c r="AI24" s="130" t="n"/>
      <c r="AJ24" s="130" t="n"/>
    </row>
    <row r="25">
      <c r="A25" s="126">
        <f>IF('משימות'!$A10="","",'משימות'!A10)</f>
        <v/>
      </c>
      <c r="B25" s="127">
        <f>IF('משימות'!$A10="","",'משימות'!C10)</f>
        <v/>
      </c>
      <c r="C25" s="127">
        <f>IF('משימות'!$A10="","",'משימות'!D10)</f>
        <v/>
      </c>
      <c r="D25" s="128">
        <f>IF('משימות'!$A10="","",'משימות'!G10)</f>
        <v/>
      </c>
      <c r="E25" s="129">
        <f>IF('משימות'!$A10="","",'משימות'!J10)</f>
        <v/>
      </c>
      <c r="F25" s="129">
        <f>IF('משימות'!$A10="","",'משימות'!K10)</f>
        <v/>
      </c>
      <c r="G25" s="130" t="n"/>
      <c r="H25" s="130" t="n"/>
      <c r="I25" s="130" t="n"/>
      <c r="J25" s="130" t="n"/>
      <c r="K25" s="130" t="n"/>
      <c r="L25" s="130" t="n"/>
      <c r="M25" s="130" t="n"/>
      <c r="N25" s="130" t="n"/>
      <c r="O25" s="130" t="n"/>
      <c r="P25" s="130" t="n"/>
      <c r="Q25" s="130" t="n"/>
      <c r="R25" s="130" t="n"/>
      <c r="S25" s="130" t="n"/>
      <c r="T25" s="130" t="n"/>
      <c r="U25" s="130" t="n"/>
      <c r="V25" s="130" t="n"/>
      <c r="W25" s="130" t="n"/>
      <c r="X25" s="130" t="n"/>
      <c r="Y25" s="130" t="n"/>
      <c r="Z25" s="130" t="n"/>
      <c r="AA25" s="130" t="n"/>
      <c r="AB25" s="130" t="n"/>
      <c r="AC25" s="130" t="n"/>
      <c r="AD25" s="130" t="n"/>
      <c r="AE25" s="130" t="n"/>
      <c r="AF25" s="130" t="n"/>
      <c r="AG25" s="130" t="n"/>
      <c r="AH25" s="130" t="n"/>
      <c r="AI25" s="130" t="n"/>
      <c r="AJ25" s="130" t="n"/>
    </row>
    <row r="26">
      <c r="A26" s="126">
        <f>IF('משימות'!$A11="","",'משימות'!A11)</f>
        <v/>
      </c>
      <c r="B26" s="127">
        <f>IF('משימות'!$A11="","",'משימות'!C11)</f>
        <v/>
      </c>
      <c r="C26" s="127">
        <f>IF('משימות'!$A11="","",'משימות'!D11)</f>
        <v/>
      </c>
      <c r="D26" s="128">
        <f>IF('משימות'!$A11="","",'משימות'!G11)</f>
        <v/>
      </c>
      <c r="E26" s="129">
        <f>IF('משימות'!$A11="","",'משימות'!J11)</f>
        <v/>
      </c>
      <c r="F26" s="129">
        <f>IF('משימות'!$A11="","",'משימות'!K11)</f>
        <v/>
      </c>
      <c r="G26" s="130" t="n"/>
      <c r="H26" s="130" t="n"/>
      <c r="I26" s="130" t="n"/>
      <c r="J26" s="130" t="n"/>
      <c r="K26" s="130" t="n"/>
      <c r="L26" s="130" t="n"/>
      <c r="M26" s="130" t="n"/>
      <c r="N26" s="130" t="n"/>
      <c r="O26" s="130" t="n"/>
      <c r="P26" s="130" t="n"/>
      <c r="Q26" s="130" t="n"/>
      <c r="R26" s="130" t="n"/>
      <c r="S26" s="130" t="n"/>
      <c r="T26" s="130" t="n"/>
      <c r="U26" s="130" t="n"/>
      <c r="V26" s="130" t="n"/>
      <c r="W26" s="130" t="n"/>
      <c r="X26" s="130" t="n"/>
      <c r="Y26" s="130" t="n"/>
      <c r="Z26" s="130" t="n"/>
      <c r="AA26" s="130" t="n"/>
      <c r="AB26" s="130" t="n"/>
      <c r="AC26" s="130" t="n"/>
      <c r="AD26" s="130" t="n"/>
      <c r="AE26" s="130" t="n"/>
      <c r="AF26" s="130" t="n"/>
      <c r="AG26" s="130" t="n"/>
      <c r="AH26" s="130" t="n"/>
      <c r="AI26" s="130" t="n"/>
      <c r="AJ26" s="130" t="n"/>
    </row>
    <row r="27">
      <c r="A27" s="126">
        <f>IF('משימות'!$A12="","",'משימות'!A12)</f>
        <v/>
      </c>
      <c r="B27" s="127">
        <f>IF('משימות'!$A12="","",'משימות'!C12)</f>
        <v/>
      </c>
      <c r="C27" s="127">
        <f>IF('משימות'!$A12="","",'משימות'!D12)</f>
        <v/>
      </c>
      <c r="D27" s="128">
        <f>IF('משימות'!$A12="","",'משימות'!G12)</f>
        <v/>
      </c>
      <c r="E27" s="129">
        <f>IF('משימות'!$A12="","",'משימות'!J12)</f>
        <v/>
      </c>
      <c r="F27" s="129">
        <f>IF('משימות'!$A12="","",'משימות'!K12)</f>
        <v/>
      </c>
      <c r="G27" s="130" t="n"/>
      <c r="H27" s="130" t="n"/>
      <c r="I27" s="130" t="n"/>
      <c r="J27" s="130" t="n"/>
      <c r="K27" s="130" t="n"/>
      <c r="L27" s="130" t="n"/>
      <c r="M27" s="130" t="n"/>
      <c r="N27" s="130" t="n"/>
      <c r="O27" s="130" t="n"/>
      <c r="P27" s="130" t="n"/>
      <c r="Q27" s="130" t="n"/>
      <c r="R27" s="130" t="n"/>
      <c r="S27" s="130" t="n"/>
      <c r="T27" s="130" t="n"/>
      <c r="U27" s="130" t="n"/>
      <c r="V27" s="130" t="n"/>
      <c r="W27" s="130" t="n"/>
      <c r="X27" s="130" t="n"/>
      <c r="Y27" s="130" t="n"/>
      <c r="Z27" s="130" t="n"/>
      <c r="AA27" s="130" t="n"/>
      <c r="AB27" s="130" t="n"/>
      <c r="AC27" s="130" t="n"/>
      <c r="AD27" s="130" t="n"/>
      <c r="AE27" s="130" t="n"/>
      <c r="AF27" s="130" t="n"/>
      <c r="AG27" s="130" t="n"/>
      <c r="AH27" s="130" t="n"/>
      <c r="AI27" s="130" t="n"/>
      <c r="AJ27" s="130" t="n"/>
    </row>
    <row r="28">
      <c r="A28" s="126">
        <f>IF('משימות'!$A13="","",'משימות'!A13)</f>
        <v/>
      </c>
      <c r="B28" s="127">
        <f>IF('משימות'!$A13="","",'משימות'!C13)</f>
        <v/>
      </c>
      <c r="C28" s="127">
        <f>IF('משימות'!$A13="","",'משימות'!D13)</f>
        <v/>
      </c>
      <c r="D28" s="128">
        <f>IF('משימות'!$A13="","",'משימות'!G13)</f>
        <v/>
      </c>
      <c r="E28" s="129">
        <f>IF('משימות'!$A13="","",'משימות'!J13)</f>
        <v/>
      </c>
      <c r="F28" s="129">
        <f>IF('משימות'!$A13="","",'משימות'!K13)</f>
        <v/>
      </c>
      <c r="G28" s="130" t="n"/>
      <c r="H28" s="130" t="n"/>
      <c r="I28" s="130" t="n"/>
      <c r="J28" s="130" t="n"/>
      <c r="K28" s="130" t="n"/>
      <c r="L28" s="130" t="n"/>
      <c r="M28" s="130" t="n"/>
      <c r="N28" s="130" t="n"/>
      <c r="O28" s="130" t="n"/>
      <c r="P28" s="130" t="n"/>
      <c r="Q28" s="130" t="n"/>
      <c r="R28" s="130" t="n"/>
      <c r="S28" s="130" t="n"/>
      <c r="T28" s="130" t="n"/>
      <c r="U28" s="130" t="n"/>
      <c r="V28" s="130" t="n"/>
      <c r="W28" s="130" t="n"/>
      <c r="X28" s="130" t="n"/>
      <c r="Y28" s="130" t="n"/>
      <c r="Z28" s="130" t="n"/>
      <c r="AA28" s="130" t="n"/>
      <c r="AB28" s="130" t="n"/>
      <c r="AC28" s="130" t="n"/>
      <c r="AD28" s="130" t="n"/>
      <c r="AE28" s="130" t="n"/>
      <c r="AF28" s="130" t="n"/>
      <c r="AG28" s="130" t="n"/>
      <c r="AH28" s="130" t="n"/>
      <c r="AI28" s="130" t="n"/>
      <c r="AJ28" s="130" t="n"/>
    </row>
    <row r="29">
      <c r="A29" s="126">
        <f>IF('משימות'!$A14="","",'משימות'!A14)</f>
        <v/>
      </c>
      <c r="B29" s="127">
        <f>IF('משימות'!$A14="","",'משימות'!C14)</f>
        <v/>
      </c>
      <c r="C29" s="127">
        <f>IF('משימות'!$A14="","",'משימות'!D14)</f>
        <v/>
      </c>
      <c r="D29" s="128">
        <f>IF('משימות'!$A14="","",'משימות'!G14)</f>
        <v/>
      </c>
      <c r="E29" s="129">
        <f>IF('משימות'!$A14="","",'משימות'!J14)</f>
        <v/>
      </c>
      <c r="F29" s="129">
        <f>IF('משימות'!$A14="","",'משימות'!K14)</f>
        <v/>
      </c>
      <c r="G29" s="130" t="n"/>
      <c r="H29" s="130" t="n"/>
      <c r="I29" s="130" t="n"/>
      <c r="J29" s="130" t="n"/>
      <c r="K29" s="130" t="n"/>
      <c r="L29" s="130" t="n"/>
      <c r="M29" s="130" t="n"/>
      <c r="N29" s="130" t="n"/>
      <c r="O29" s="130" t="n"/>
      <c r="P29" s="130" t="n"/>
      <c r="Q29" s="130" t="n"/>
      <c r="R29" s="130" t="n"/>
      <c r="S29" s="130" t="n"/>
      <c r="T29" s="130" t="n"/>
      <c r="U29" s="130" t="n"/>
      <c r="V29" s="130" t="n"/>
      <c r="W29" s="130" t="n"/>
      <c r="X29" s="130" t="n"/>
      <c r="Y29" s="130" t="n"/>
      <c r="Z29" s="130" t="n"/>
      <c r="AA29" s="130" t="n"/>
      <c r="AB29" s="130" t="n"/>
      <c r="AC29" s="130" t="n"/>
      <c r="AD29" s="130" t="n"/>
      <c r="AE29" s="130" t="n"/>
      <c r="AF29" s="130" t="n"/>
      <c r="AG29" s="130" t="n"/>
      <c r="AH29" s="130" t="n"/>
      <c r="AI29" s="130" t="n"/>
      <c r="AJ29" s="130" t="n"/>
    </row>
    <row r="30">
      <c r="A30" s="126">
        <f>IF('משימות'!$A15="","",'משימות'!A15)</f>
        <v/>
      </c>
      <c r="B30" s="127">
        <f>IF('משימות'!$A15="","",'משימות'!C15)</f>
        <v/>
      </c>
      <c r="C30" s="127">
        <f>IF('משימות'!$A15="","",'משימות'!D15)</f>
        <v/>
      </c>
      <c r="D30" s="128">
        <f>IF('משימות'!$A15="","",'משימות'!G15)</f>
        <v/>
      </c>
      <c r="E30" s="129">
        <f>IF('משימות'!$A15="","",'משימות'!J15)</f>
        <v/>
      </c>
      <c r="F30" s="129">
        <f>IF('משימות'!$A15="","",'משימות'!K15)</f>
        <v/>
      </c>
      <c r="G30" s="130" t="n"/>
      <c r="H30" s="130" t="n"/>
      <c r="I30" s="130" t="n"/>
      <c r="J30" s="130" t="n"/>
      <c r="K30" s="130" t="n"/>
      <c r="L30" s="130" t="n"/>
      <c r="M30" s="130" t="n"/>
      <c r="N30" s="130" t="n"/>
      <c r="O30" s="130" t="n"/>
      <c r="P30" s="130" t="n"/>
      <c r="Q30" s="130" t="n"/>
      <c r="R30" s="130" t="n"/>
      <c r="S30" s="130" t="n"/>
      <c r="T30" s="130" t="n"/>
      <c r="U30" s="130" t="n"/>
      <c r="V30" s="130" t="n"/>
      <c r="W30" s="130" t="n"/>
      <c r="X30" s="130" t="n"/>
      <c r="Y30" s="130" t="n"/>
      <c r="Z30" s="130" t="n"/>
      <c r="AA30" s="130" t="n"/>
      <c r="AB30" s="130" t="n"/>
      <c r="AC30" s="130" t="n"/>
      <c r="AD30" s="130" t="n"/>
      <c r="AE30" s="130" t="n"/>
      <c r="AF30" s="130" t="n"/>
      <c r="AG30" s="130" t="n"/>
      <c r="AH30" s="130" t="n"/>
      <c r="AI30" s="130" t="n"/>
      <c r="AJ30" s="130" t="n"/>
    </row>
    <row r="31">
      <c r="A31" s="126">
        <f>IF('משימות'!$A16="","",'משימות'!A16)</f>
        <v/>
      </c>
      <c r="B31" s="127">
        <f>IF('משימות'!$A16="","",'משימות'!C16)</f>
        <v/>
      </c>
      <c r="C31" s="127">
        <f>IF('משימות'!$A16="","",'משימות'!D16)</f>
        <v/>
      </c>
      <c r="D31" s="128">
        <f>IF('משימות'!$A16="","",'משימות'!G16)</f>
        <v/>
      </c>
      <c r="E31" s="129">
        <f>IF('משימות'!$A16="","",'משימות'!J16)</f>
        <v/>
      </c>
      <c r="F31" s="129">
        <f>IF('משימות'!$A16="","",'משימות'!K16)</f>
        <v/>
      </c>
      <c r="G31" s="130" t="n"/>
      <c r="H31" s="130" t="n"/>
      <c r="I31" s="130" t="n"/>
      <c r="J31" s="130" t="n"/>
      <c r="K31" s="130" t="n"/>
      <c r="L31" s="130" t="n"/>
      <c r="M31" s="130" t="n"/>
      <c r="N31" s="130" t="n"/>
      <c r="O31" s="130" t="n"/>
      <c r="P31" s="130" t="n"/>
      <c r="Q31" s="130" t="n"/>
      <c r="R31" s="130" t="n"/>
      <c r="S31" s="130" t="n"/>
      <c r="T31" s="130" t="n"/>
      <c r="U31" s="130" t="n"/>
      <c r="V31" s="130" t="n"/>
      <c r="W31" s="130" t="n"/>
      <c r="X31" s="130" t="n"/>
      <c r="Y31" s="130" t="n"/>
      <c r="Z31" s="130" t="n"/>
      <c r="AA31" s="130" t="n"/>
      <c r="AB31" s="130" t="n"/>
      <c r="AC31" s="130" t="n"/>
      <c r="AD31" s="130" t="n"/>
      <c r="AE31" s="130" t="n"/>
      <c r="AF31" s="130" t="n"/>
      <c r="AG31" s="130" t="n"/>
      <c r="AH31" s="130" t="n"/>
      <c r="AI31" s="130" t="n"/>
      <c r="AJ31" s="130" t="n"/>
    </row>
    <row r="32">
      <c r="A32" s="126">
        <f>IF('משימות'!$A17="","",'משימות'!A17)</f>
        <v/>
      </c>
      <c r="B32" s="127">
        <f>IF('משימות'!$A17="","",'משימות'!C17)</f>
        <v/>
      </c>
      <c r="C32" s="127">
        <f>IF('משימות'!$A17="","",'משימות'!D17)</f>
        <v/>
      </c>
      <c r="D32" s="128">
        <f>IF('משימות'!$A17="","",'משימות'!G17)</f>
        <v/>
      </c>
      <c r="E32" s="129">
        <f>IF('משימות'!$A17="","",'משימות'!J17)</f>
        <v/>
      </c>
      <c r="F32" s="129">
        <f>IF('משימות'!$A17="","",'משימות'!K17)</f>
        <v/>
      </c>
      <c r="G32" s="130" t="n"/>
      <c r="H32" s="130" t="n"/>
      <c r="I32" s="130" t="n"/>
      <c r="J32" s="130" t="n"/>
      <c r="K32" s="130" t="n"/>
      <c r="L32" s="130" t="n"/>
      <c r="M32" s="130" t="n"/>
      <c r="N32" s="130" t="n"/>
      <c r="O32" s="130" t="n"/>
      <c r="P32" s="130" t="n"/>
      <c r="Q32" s="130" t="n"/>
      <c r="R32" s="130" t="n"/>
      <c r="S32" s="130" t="n"/>
      <c r="T32" s="130" t="n"/>
      <c r="U32" s="130" t="n"/>
      <c r="V32" s="130" t="n"/>
      <c r="W32" s="130" t="n"/>
      <c r="X32" s="130" t="n"/>
      <c r="Y32" s="130" t="n"/>
      <c r="Z32" s="130" t="n"/>
      <c r="AA32" s="130" t="n"/>
      <c r="AB32" s="130" t="n"/>
      <c r="AC32" s="130" t="n"/>
      <c r="AD32" s="130" t="n"/>
      <c r="AE32" s="130" t="n"/>
      <c r="AF32" s="130" t="n"/>
      <c r="AG32" s="130" t="n"/>
      <c r="AH32" s="130" t="n"/>
      <c r="AI32" s="130" t="n"/>
      <c r="AJ32" s="130" t="n"/>
    </row>
    <row r="33">
      <c r="A33" s="126">
        <f>IF('משימות'!$A18="","",'משימות'!A18)</f>
        <v/>
      </c>
      <c r="B33" s="127">
        <f>IF('משימות'!$A18="","",'משימות'!C18)</f>
        <v/>
      </c>
      <c r="C33" s="127">
        <f>IF('משימות'!$A18="","",'משימות'!D18)</f>
        <v/>
      </c>
      <c r="D33" s="128">
        <f>IF('משימות'!$A18="","",'משימות'!G18)</f>
        <v/>
      </c>
      <c r="E33" s="129">
        <f>IF('משימות'!$A18="","",'משימות'!J18)</f>
        <v/>
      </c>
      <c r="F33" s="129">
        <f>IF('משימות'!$A18="","",'משימות'!K18)</f>
        <v/>
      </c>
      <c r="G33" s="130" t="n"/>
      <c r="H33" s="130" t="n"/>
      <c r="I33" s="130" t="n"/>
      <c r="J33" s="130" t="n"/>
      <c r="K33" s="130" t="n"/>
      <c r="L33" s="130" t="n"/>
      <c r="M33" s="130" t="n"/>
      <c r="N33" s="130" t="n"/>
      <c r="O33" s="130" t="n"/>
      <c r="P33" s="130" t="n"/>
      <c r="Q33" s="130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</row>
    <row r="34">
      <c r="A34" s="126">
        <f>IF('משימות'!$A19="","",'משימות'!A19)</f>
        <v/>
      </c>
      <c r="B34" s="127">
        <f>IF('משימות'!$A19="","",'משימות'!C19)</f>
        <v/>
      </c>
      <c r="C34" s="127">
        <f>IF('משימות'!$A19="","",'משימות'!D19)</f>
        <v/>
      </c>
      <c r="D34" s="128">
        <f>IF('משימות'!$A19="","",'משימות'!G19)</f>
        <v/>
      </c>
      <c r="E34" s="129">
        <f>IF('משימות'!$A19="","",'משימות'!J19)</f>
        <v/>
      </c>
      <c r="F34" s="129">
        <f>IF('משימות'!$A19="","",'משימות'!K19)</f>
        <v/>
      </c>
      <c r="G34" s="130" t="n"/>
      <c r="H34" s="130" t="n"/>
      <c r="I34" s="130" t="n"/>
      <c r="J34" s="130" t="n"/>
      <c r="K34" s="130" t="n"/>
      <c r="L34" s="130" t="n"/>
      <c r="M34" s="130" t="n"/>
      <c r="N34" s="130" t="n"/>
      <c r="O34" s="130" t="n"/>
      <c r="P34" s="130" t="n"/>
      <c r="Q34" s="130" t="n"/>
      <c r="R34" s="130" t="n"/>
      <c r="S34" s="130" t="n"/>
      <c r="T34" s="130" t="n"/>
      <c r="U34" s="130" t="n"/>
      <c r="V34" s="130" t="n"/>
      <c r="W34" s="130" t="n"/>
      <c r="X34" s="130" t="n"/>
      <c r="Y34" s="130" t="n"/>
      <c r="Z34" s="130" t="n"/>
      <c r="AA34" s="130" t="n"/>
      <c r="AB34" s="130" t="n"/>
      <c r="AC34" s="130" t="n"/>
      <c r="AD34" s="130" t="n"/>
      <c r="AE34" s="130" t="n"/>
      <c r="AF34" s="130" t="n"/>
      <c r="AG34" s="130" t="n"/>
      <c r="AH34" s="130" t="n"/>
      <c r="AI34" s="130" t="n"/>
      <c r="AJ34" s="130" t="n"/>
    </row>
    <row r="35">
      <c r="A35" s="126">
        <f>IF('משימות'!$A20="","",'משימות'!A20)</f>
        <v/>
      </c>
      <c r="B35" s="127">
        <f>IF('משימות'!$A20="","",'משימות'!C20)</f>
        <v/>
      </c>
      <c r="C35" s="127">
        <f>IF('משימות'!$A20="","",'משימות'!D20)</f>
        <v/>
      </c>
      <c r="D35" s="128">
        <f>IF('משימות'!$A20="","",'משימות'!G20)</f>
        <v/>
      </c>
      <c r="E35" s="129">
        <f>IF('משימות'!$A20="","",'משימות'!J20)</f>
        <v/>
      </c>
      <c r="F35" s="129">
        <f>IF('משימות'!$A20="","",'משימות'!K20)</f>
        <v/>
      </c>
      <c r="G35" s="130" t="n"/>
      <c r="H35" s="130" t="n"/>
      <c r="I35" s="130" t="n"/>
      <c r="J35" s="130" t="n"/>
      <c r="K35" s="130" t="n"/>
      <c r="L35" s="130" t="n"/>
      <c r="M35" s="130" t="n"/>
      <c r="N35" s="130" t="n"/>
      <c r="O35" s="130" t="n"/>
      <c r="P35" s="130" t="n"/>
      <c r="Q35" s="130" t="n"/>
      <c r="R35" s="130" t="n"/>
      <c r="S35" s="130" t="n"/>
      <c r="T35" s="130" t="n"/>
      <c r="U35" s="130" t="n"/>
      <c r="V35" s="130" t="n"/>
      <c r="W35" s="130" t="n"/>
      <c r="X35" s="130" t="n"/>
      <c r="Y35" s="130" t="n"/>
      <c r="Z35" s="130" t="n"/>
      <c r="AA35" s="130" t="n"/>
      <c r="AB35" s="130" t="n"/>
      <c r="AC35" s="130" t="n"/>
      <c r="AD35" s="130" t="n"/>
      <c r="AE35" s="130" t="n"/>
      <c r="AF35" s="130" t="n"/>
      <c r="AG35" s="130" t="n"/>
      <c r="AH35" s="130" t="n"/>
      <c r="AI35" s="130" t="n"/>
      <c r="AJ35" s="130" t="n"/>
    </row>
    <row r="36">
      <c r="A36" s="126">
        <f>IF('משימות'!$A21="","",'משימות'!A21)</f>
        <v/>
      </c>
      <c r="B36" s="127">
        <f>IF('משימות'!$A21="","",'משימות'!C21)</f>
        <v/>
      </c>
      <c r="C36" s="127">
        <f>IF('משימות'!$A21="","",'משימות'!D21)</f>
        <v/>
      </c>
      <c r="D36" s="128">
        <f>IF('משימות'!$A21="","",'משימות'!G21)</f>
        <v/>
      </c>
      <c r="E36" s="129">
        <f>IF('משימות'!$A21="","",'משימות'!J21)</f>
        <v/>
      </c>
      <c r="F36" s="129">
        <f>IF('משימות'!$A21="","",'משימות'!K21)</f>
        <v/>
      </c>
      <c r="G36" s="130" t="n"/>
      <c r="H36" s="130" t="n"/>
      <c r="I36" s="130" t="n"/>
      <c r="J36" s="130" t="n"/>
      <c r="K36" s="130" t="n"/>
      <c r="L36" s="130" t="n"/>
      <c r="M36" s="130" t="n"/>
      <c r="N36" s="130" t="n"/>
      <c r="O36" s="130" t="n"/>
      <c r="P36" s="130" t="n"/>
      <c r="Q36" s="130" t="n"/>
      <c r="R36" s="130" t="n"/>
      <c r="S36" s="130" t="n"/>
      <c r="T36" s="130" t="n"/>
      <c r="U36" s="130" t="n"/>
      <c r="V36" s="130" t="n"/>
      <c r="W36" s="130" t="n"/>
      <c r="X36" s="130" t="n"/>
      <c r="Y36" s="130" t="n"/>
      <c r="Z36" s="130" t="n"/>
      <c r="AA36" s="130" t="n"/>
      <c r="AB36" s="130" t="n"/>
      <c r="AC36" s="130" t="n"/>
      <c r="AD36" s="130" t="n"/>
      <c r="AE36" s="130" t="n"/>
      <c r="AF36" s="130" t="n"/>
      <c r="AG36" s="130" t="n"/>
      <c r="AH36" s="130" t="n"/>
      <c r="AI36" s="130" t="n"/>
      <c r="AJ36" s="130" t="n"/>
    </row>
    <row r="37">
      <c r="A37" s="126">
        <f>IF('משימות'!$A22="","",'משימות'!A22)</f>
        <v/>
      </c>
      <c r="B37" s="127">
        <f>IF('משימות'!$A22="","",'משימות'!C22)</f>
        <v/>
      </c>
      <c r="C37" s="127">
        <f>IF('משימות'!$A22="","",'משימות'!D22)</f>
        <v/>
      </c>
      <c r="D37" s="128">
        <f>IF('משימות'!$A22="","",'משימות'!G22)</f>
        <v/>
      </c>
      <c r="E37" s="129">
        <f>IF('משימות'!$A22="","",'משימות'!J22)</f>
        <v/>
      </c>
      <c r="F37" s="129">
        <f>IF('משימות'!$A22="","",'משימות'!K22)</f>
        <v/>
      </c>
      <c r="G37" s="130" t="n"/>
      <c r="H37" s="130" t="n"/>
      <c r="I37" s="130" t="n"/>
      <c r="J37" s="130" t="n"/>
      <c r="K37" s="130" t="n"/>
      <c r="L37" s="130" t="n"/>
      <c r="M37" s="130" t="n"/>
      <c r="N37" s="130" t="n"/>
      <c r="O37" s="130" t="n"/>
      <c r="P37" s="130" t="n"/>
      <c r="Q37" s="130" t="n"/>
      <c r="R37" s="130" t="n"/>
      <c r="S37" s="130" t="n"/>
      <c r="T37" s="130" t="n"/>
      <c r="U37" s="130" t="n"/>
      <c r="V37" s="130" t="n"/>
      <c r="W37" s="130" t="n"/>
      <c r="X37" s="130" t="n"/>
      <c r="Y37" s="130" t="n"/>
      <c r="Z37" s="130" t="n"/>
      <c r="AA37" s="130" t="n"/>
      <c r="AB37" s="130" t="n"/>
      <c r="AC37" s="130" t="n"/>
      <c r="AD37" s="130" t="n"/>
      <c r="AE37" s="130" t="n"/>
      <c r="AF37" s="130" t="n"/>
      <c r="AG37" s="130" t="n"/>
      <c r="AH37" s="130" t="n"/>
      <c r="AI37" s="130" t="n"/>
      <c r="AJ37" s="130" t="n"/>
    </row>
    <row r="38">
      <c r="A38" s="126">
        <f>IF('משימות'!$A23="","",'משימות'!A23)</f>
        <v/>
      </c>
      <c r="B38" s="127">
        <f>IF('משימות'!$A23="","",'משימות'!C23)</f>
        <v/>
      </c>
      <c r="C38" s="127">
        <f>IF('משימות'!$A23="","",'משימות'!D23)</f>
        <v/>
      </c>
      <c r="D38" s="128">
        <f>IF('משימות'!$A23="","",'משימות'!G23)</f>
        <v/>
      </c>
      <c r="E38" s="129">
        <f>IF('משימות'!$A23="","",'משימות'!J23)</f>
        <v/>
      </c>
      <c r="F38" s="129">
        <f>IF('משימות'!$A23="","",'משימות'!K23)</f>
        <v/>
      </c>
      <c r="G38" s="130" t="n"/>
      <c r="H38" s="130" t="n"/>
      <c r="I38" s="130" t="n"/>
      <c r="J38" s="130" t="n"/>
      <c r="K38" s="130" t="n"/>
      <c r="L38" s="130" t="n"/>
      <c r="M38" s="130" t="n"/>
      <c r="N38" s="130" t="n"/>
      <c r="O38" s="130" t="n"/>
      <c r="P38" s="130" t="n"/>
      <c r="Q38" s="130" t="n"/>
      <c r="R38" s="130" t="n"/>
      <c r="S38" s="130" t="n"/>
      <c r="T38" s="130" t="n"/>
      <c r="U38" s="130" t="n"/>
      <c r="V38" s="130" t="n"/>
      <c r="W38" s="130" t="n"/>
      <c r="X38" s="130" t="n"/>
      <c r="Y38" s="130" t="n"/>
      <c r="Z38" s="130" t="n"/>
      <c r="AA38" s="130" t="n"/>
      <c r="AB38" s="130" t="n"/>
      <c r="AC38" s="130" t="n"/>
      <c r="AD38" s="130" t="n"/>
      <c r="AE38" s="130" t="n"/>
      <c r="AF38" s="130" t="n"/>
      <c r="AG38" s="130" t="n"/>
      <c r="AH38" s="130" t="n"/>
      <c r="AI38" s="130" t="n"/>
      <c r="AJ38" s="130" t="n"/>
    </row>
    <row r="39">
      <c r="A39" s="126">
        <f>IF('משימות'!$A24="","",'משימות'!A24)</f>
        <v/>
      </c>
      <c r="B39" s="127">
        <f>IF('משימות'!$A24="","",'משימות'!C24)</f>
        <v/>
      </c>
      <c r="C39" s="127">
        <f>IF('משימות'!$A24="","",'משימות'!D24)</f>
        <v/>
      </c>
      <c r="D39" s="128">
        <f>IF('משימות'!$A24="","",'משימות'!G24)</f>
        <v/>
      </c>
      <c r="E39" s="129">
        <f>IF('משימות'!$A24="","",'משימות'!J24)</f>
        <v/>
      </c>
      <c r="F39" s="129">
        <f>IF('משימות'!$A24="","",'משימות'!K24)</f>
        <v/>
      </c>
      <c r="G39" s="130" t="n"/>
      <c r="H39" s="130" t="n"/>
      <c r="I39" s="130" t="n"/>
      <c r="J39" s="130" t="n"/>
      <c r="K39" s="130" t="n"/>
      <c r="L39" s="130" t="n"/>
      <c r="M39" s="130" t="n"/>
      <c r="N39" s="130" t="n"/>
      <c r="O39" s="130" t="n"/>
      <c r="P39" s="130" t="n"/>
      <c r="Q39" s="130" t="n"/>
      <c r="R39" s="130" t="n"/>
      <c r="S39" s="130" t="n"/>
      <c r="T39" s="130" t="n"/>
      <c r="U39" s="130" t="n"/>
      <c r="V39" s="130" t="n"/>
      <c r="W39" s="130" t="n"/>
      <c r="X39" s="130" t="n"/>
      <c r="Y39" s="130" t="n"/>
      <c r="Z39" s="130" t="n"/>
      <c r="AA39" s="130" t="n"/>
      <c r="AB39" s="130" t="n"/>
      <c r="AC39" s="130" t="n"/>
      <c r="AD39" s="130" t="n"/>
      <c r="AE39" s="130" t="n"/>
      <c r="AF39" s="130" t="n"/>
      <c r="AG39" s="130" t="n"/>
      <c r="AH39" s="130" t="n"/>
      <c r="AI39" s="130" t="n"/>
      <c r="AJ39" s="130" t="n"/>
    </row>
    <row r="40">
      <c r="A40" s="126">
        <f>IF('משימות'!$A25="","",'משימות'!A25)</f>
        <v/>
      </c>
      <c r="B40" s="127">
        <f>IF('משימות'!$A25="","",'משימות'!C25)</f>
        <v/>
      </c>
      <c r="C40" s="127">
        <f>IF('משימות'!$A25="","",'משימות'!D25)</f>
        <v/>
      </c>
      <c r="D40" s="128">
        <f>IF('משימות'!$A25="","",'משימות'!G25)</f>
        <v/>
      </c>
      <c r="E40" s="129">
        <f>IF('משימות'!$A25="","",'משימות'!J25)</f>
        <v/>
      </c>
      <c r="F40" s="129">
        <f>IF('משימות'!$A25="","",'משימות'!K25)</f>
        <v/>
      </c>
      <c r="G40" s="130" t="n"/>
      <c r="H40" s="130" t="n"/>
      <c r="I40" s="130" t="n"/>
      <c r="J40" s="130" t="n"/>
      <c r="K40" s="130" t="n"/>
      <c r="L40" s="130" t="n"/>
      <c r="M40" s="130" t="n"/>
      <c r="N40" s="130" t="n"/>
      <c r="O40" s="130" t="n"/>
      <c r="P40" s="130" t="n"/>
      <c r="Q40" s="130" t="n"/>
      <c r="R40" s="130" t="n"/>
      <c r="S40" s="130" t="n"/>
      <c r="T40" s="130" t="n"/>
      <c r="U40" s="130" t="n"/>
      <c r="V40" s="130" t="n"/>
      <c r="W40" s="130" t="n"/>
      <c r="X40" s="130" t="n"/>
      <c r="Y40" s="130" t="n"/>
      <c r="Z40" s="130" t="n"/>
      <c r="AA40" s="130" t="n"/>
      <c r="AB40" s="130" t="n"/>
      <c r="AC40" s="130" t="n"/>
      <c r="AD40" s="130" t="n"/>
      <c r="AE40" s="130" t="n"/>
      <c r="AF40" s="130" t="n"/>
      <c r="AG40" s="130" t="n"/>
      <c r="AH40" s="130" t="n"/>
      <c r="AI40" s="130" t="n"/>
      <c r="AJ40" s="130" t="n"/>
    </row>
    <row r="41">
      <c r="A41" s="126">
        <f>IF('משימות'!$A26="","",'משימות'!A26)</f>
        <v/>
      </c>
      <c r="B41" s="127">
        <f>IF('משימות'!$A26="","",'משימות'!C26)</f>
        <v/>
      </c>
      <c r="C41" s="127">
        <f>IF('משימות'!$A26="","",'משימות'!D26)</f>
        <v/>
      </c>
      <c r="D41" s="128">
        <f>IF('משימות'!$A26="","",'משימות'!G26)</f>
        <v/>
      </c>
      <c r="E41" s="129">
        <f>IF('משימות'!$A26="","",'משימות'!J26)</f>
        <v/>
      </c>
      <c r="F41" s="129">
        <f>IF('משימות'!$A26="","",'משימות'!K26)</f>
        <v/>
      </c>
      <c r="G41" s="130" t="n"/>
      <c r="H41" s="130" t="n"/>
      <c r="I41" s="130" t="n"/>
      <c r="J41" s="130" t="n"/>
      <c r="K41" s="130" t="n"/>
      <c r="L41" s="130" t="n"/>
      <c r="M41" s="130" t="n"/>
      <c r="N41" s="130" t="n"/>
      <c r="O41" s="130" t="n"/>
      <c r="P41" s="130" t="n"/>
      <c r="Q41" s="130" t="n"/>
      <c r="R41" s="130" t="n"/>
      <c r="S41" s="130" t="n"/>
      <c r="T41" s="130" t="n"/>
      <c r="U41" s="130" t="n"/>
      <c r="V41" s="130" t="n"/>
      <c r="W41" s="130" t="n"/>
      <c r="X41" s="130" t="n"/>
      <c r="Y41" s="130" t="n"/>
      <c r="Z41" s="130" t="n"/>
      <c r="AA41" s="130" t="n"/>
      <c r="AB41" s="130" t="n"/>
      <c r="AC41" s="130" t="n"/>
      <c r="AD41" s="130" t="n"/>
      <c r="AE41" s="130" t="n"/>
      <c r="AF41" s="130" t="n"/>
      <c r="AG41" s="130" t="n"/>
      <c r="AH41" s="130" t="n"/>
      <c r="AI41" s="130" t="n"/>
      <c r="AJ41" s="130" t="n"/>
    </row>
    <row r="42">
      <c r="A42" s="126">
        <f>IF('משימות'!$A27="","",'משימות'!A27)</f>
        <v/>
      </c>
      <c r="B42" s="127">
        <f>IF('משימות'!$A27="","",'משימות'!C27)</f>
        <v/>
      </c>
      <c r="C42" s="127">
        <f>IF('משימות'!$A27="","",'משימות'!D27)</f>
        <v/>
      </c>
      <c r="D42" s="128">
        <f>IF('משימות'!$A27="","",'משימות'!G27)</f>
        <v/>
      </c>
      <c r="E42" s="129">
        <f>IF('משימות'!$A27="","",'משימות'!J27)</f>
        <v/>
      </c>
      <c r="F42" s="129">
        <f>IF('משימות'!$A27="","",'משימות'!K27)</f>
        <v/>
      </c>
      <c r="G42" s="130" t="n"/>
      <c r="H42" s="130" t="n"/>
      <c r="I42" s="130" t="n"/>
      <c r="J42" s="130" t="n"/>
      <c r="K42" s="130" t="n"/>
      <c r="L42" s="130" t="n"/>
      <c r="M42" s="130" t="n"/>
      <c r="N42" s="130" t="n"/>
      <c r="O42" s="130" t="n"/>
      <c r="P42" s="130" t="n"/>
      <c r="Q42" s="130" t="n"/>
      <c r="R42" s="130" t="n"/>
      <c r="S42" s="130" t="n"/>
      <c r="T42" s="130" t="n"/>
      <c r="U42" s="130" t="n"/>
      <c r="V42" s="130" t="n"/>
      <c r="W42" s="130" t="n"/>
      <c r="X42" s="130" t="n"/>
      <c r="Y42" s="130" t="n"/>
      <c r="Z42" s="130" t="n"/>
      <c r="AA42" s="130" t="n"/>
      <c r="AB42" s="130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</row>
    <row r="43">
      <c r="A43" s="126">
        <f>IF('משימות'!$A28="","",'משימות'!A28)</f>
        <v/>
      </c>
      <c r="B43" s="127">
        <f>IF('משימות'!$A28="","",'משימות'!C28)</f>
        <v/>
      </c>
      <c r="C43" s="127">
        <f>IF('משימות'!$A28="","",'משימות'!D28)</f>
        <v/>
      </c>
      <c r="D43" s="128">
        <f>IF('משימות'!$A28="","",'משימות'!G28)</f>
        <v/>
      </c>
      <c r="E43" s="129">
        <f>IF('משימות'!$A28="","",'משימות'!J28)</f>
        <v/>
      </c>
      <c r="F43" s="129">
        <f>IF('משימות'!$A28="","",'משימות'!K28)</f>
        <v/>
      </c>
      <c r="G43" s="130" t="n"/>
      <c r="H43" s="130" t="n"/>
      <c r="I43" s="130" t="n"/>
      <c r="J43" s="130" t="n"/>
      <c r="K43" s="130" t="n"/>
      <c r="L43" s="130" t="n"/>
      <c r="M43" s="130" t="n"/>
      <c r="N43" s="130" t="n"/>
      <c r="O43" s="130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0" t="n"/>
      <c r="AC43" s="130" t="n"/>
      <c r="AD43" s="130" t="n"/>
      <c r="AE43" s="130" t="n"/>
      <c r="AF43" s="130" t="n"/>
      <c r="AG43" s="130" t="n"/>
      <c r="AH43" s="130" t="n"/>
      <c r="AI43" s="130" t="n"/>
      <c r="AJ43" s="130" t="n"/>
    </row>
    <row r="44">
      <c r="A44" s="126">
        <f>IF('משימות'!$A29="","",'משימות'!A29)</f>
        <v/>
      </c>
      <c r="B44" s="127">
        <f>IF('משימות'!$A29="","",'משימות'!C29)</f>
        <v/>
      </c>
      <c r="C44" s="127">
        <f>IF('משימות'!$A29="","",'משימות'!D29)</f>
        <v/>
      </c>
      <c r="D44" s="128">
        <f>IF('משימות'!$A29="","",'משימות'!G29)</f>
        <v/>
      </c>
      <c r="E44" s="129">
        <f>IF('משימות'!$A29="","",'משימות'!J29)</f>
        <v/>
      </c>
      <c r="F44" s="129">
        <f>IF('משימות'!$A29="","",'משימות'!K29)</f>
        <v/>
      </c>
      <c r="G44" s="130" t="n"/>
      <c r="H44" s="130" t="n"/>
      <c r="I44" s="130" t="n"/>
      <c r="J44" s="130" t="n"/>
      <c r="K44" s="130" t="n"/>
      <c r="L44" s="130" t="n"/>
      <c r="M44" s="130" t="n"/>
      <c r="N44" s="130" t="n"/>
      <c r="O44" s="130" t="n"/>
      <c r="P44" s="130" t="n"/>
      <c r="Q44" s="130" t="n"/>
      <c r="R44" s="130" t="n"/>
      <c r="S44" s="130" t="n"/>
      <c r="T44" s="130" t="n"/>
      <c r="U44" s="130" t="n"/>
      <c r="V44" s="130" t="n"/>
      <c r="W44" s="130" t="n"/>
      <c r="X44" s="130" t="n"/>
      <c r="Y44" s="130" t="n"/>
      <c r="Z44" s="130" t="n"/>
      <c r="AA44" s="130" t="n"/>
      <c r="AB44" s="130" t="n"/>
      <c r="AC44" s="130" t="n"/>
      <c r="AD44" s="130" t="n"/>
      <c r="AE44" s="130" t="n"/>
      <c r="AF44" s="130" t="n"/>
      <c r="AG44" s="130" t="n"/>
      <c r="AH44" s="130" t="n"/>
      <c r="AI44" s="130" t="n"/>
      <c r="AJ44" s="130" t="n"/>
    </row>
    <row r="45">
      <c r="A45" s="126">
        <f>IF('משימות'!$A30="","",'משימות'!A30)</f>
        <v/>
      </c>
      <c r="B45" s="127">
        <f>IF('משימות'!$A30="","",'משימות'!C30)</f>
        <v/>
      </c>
      <c r="C45" s="127">
        <f>IF('משימות'!$A30="","",'משימות'!D30)</f>
        <v/>
      </c>
      <c r="D45" s="128">
        <f>IF('משימות'!$A30="","",'משימות'!G30)</f>
        <v/>
      </c>
      <c r="E45" s="129">
        <f>IF('משימות'!$A30="","",'משימות'!J30)</f>
        <v/>
      </c>
      <c r="F45" s="129">
        <f>IF('משימות'!$A30="","",'משימות'!K30)</f>
        <v/>
      </c>
      <c r="G45" s="130" t="n"/>
      <c r="H45" s="130" t="n"/>
      <c r="I45" s="130" t="n"/>
      <c r="J45" s="130" t="n"/>
      <c r="K45" s="130" t="n"/>
      <c r="L45" s="130" t="n"/>
      <c r="M45" s="130" t="n"/>
      <c r="N45" s="130" t="n"/>
      <c r="O45" s="130" t="n"/>
      <c r="P45" s="130" t="n"/>
      <c r="Q45" s="130" t="n"/>
      <c r="R45" s="130" t="n"/>
      <c r="S45" s="130" t="n"/>
      <c r="T45" s="130" t="n"/>
      <c r="U45" s="130" t="n"/>
      <c r="V45" s="130" t="n"/>
      <c r="W45" s="130" t="n"/>
      <c r="X45" s="130" t="n"/>
      <c r="Y45" s="130" t="n"/>
      <c r="Z45" s="130" t="n"/>
      <c r="AA45" s="130" t="n"/>
      <c r="AB45" s="130" t="n"/>
      <c r="AC45" s="130" t="n"/>
      <c r="AD45" s="130" t="n"/>
      <c r="AE45" s="130" t="n"/>
      <c r="AF45" s="130" t="n"/>
      <c r="AG45" s="130" t="n"/>
      <c r="AH45" s="130" t="n"/>
      <c r="AI45" s="130" t="n"/>
      <c r="AJ45" s="130" t="n"/>
    </row>
    <row r="46">
      <c r="A46" s="126">
        <f>IF('משימות'!$A31="","",'משימות'!A31)</f>
        <v/>
      </c>
      <c r="B46" s="127">
        <f>IF('משימות'!$A31="","",'משימות'!C31)</f>
        <v/>
      </c>
      <c r="C46" s="127">
        <f>IF('משימות'!$A31="","",'משימות'!D31)</f>
        <v/>
      </c>
      <c r="D46" s="128">
        <f>IF('משימות'!$A31="","",'משימות'!G31)</f>
        <v/>
      </c>
      <c r="E46" s="129">
        <f>IF('משימות'!$A31="","",'משימות'!J31)</f>
        <v/>
      </c>
      <c r="F46" s="129">
        <f>IF('משימות'!$A31="","",'משימות'!K31)</f>
        <v/>
      </c>
      <c r="G46" s="130" t="n"/>
      <c r="H46" s="130" t="n"/>
      <c r="I46" s="130" t="n"/>
      <c r="J46" s="130" t="n"/>
      <c r="K46" s="130" t="n"/>
      <c r="L46" s="130" t="n"/>
      <c r="M46" s="130" t="n"/>
      <c r="N46" s="130" t="n"/>
      <c r="O46" s="130" t="n"/>
      <c r="P46" s="130" t="n"/>
      <c r="Q46" s="130" t="n"/>
      <c r="R46" s="130" t="n"/>
      <c r="S46" s="130" t="n"/>
      <c r="T46" s="130" t="n"/>
      <c r="U46" s="130" t="n"/>
      <c r="V46" s="130" t="n"/>
      <c r="W46" s="130" t="n"/>
      <c r="X46" s="130" t="n"/>
      <c r="Y46" s="130" t="n"/>
      <c r="Z46" s="130" t="n"/>
      <c r="AA46" s="130" t="n"/>
      <c r="AB46" s="130" t="n"/>
      <c r="AC46" s="130" t="n"/>
      <c r="AD46" s="130" t="n"/>
      <c r="AE46" s="130" t="n"/>
      <c r="AF46" s="130" t="n"/>
      <c r="AG46" s="130" t="n"/>
      <c r="AH46" s="130" t="n"/>
      <c r="AI46" s="130" t="n"/>
      <c r="AJ46" s="130" t="n"/>
    </row>
    <row r="47">
      <c r="A47" s="126">
        <f>IF('משימות'!$A32="","",'משימות'!A32)</f>
        <v/>
      </c>
      <c r="B47" s="127">
        <f>IF('משימות'!$A32="","",'משימות'!C32)</f>
        <v/>
      </c>
      <c r="C47" s="127">
        <f>IF('משימות'!$A32="","",'משימות'!D32)</f>
        <v/>
      </c>
      <c r="D47" s="128">
        <f>IF('משימות'!$A32="","",'משימות'!G32)</f>
        <v/>
      </c>
      <c r="E47" s="129">
        <f>IF('משימות'!$A32="","",'משימות'!J32)</f>
        <v/>
      </c>
      <c r="F47" s="129">
        <f>IF('משימות'!$A32="","",'משימות'!K32)</f>
        <v/>
      </c>
      <c r="G47" s="130" t="n"/>
      <c r="H47" s="130" t="n"/>
      <c r="I47" s="130" t="n"/>
      <c r="J47" s="130" t="n"/>
      <c r="K47" s="130" t="n"/>
      <c r="L47" s="130" t="n"/>
      <c r="M47" s="130" t="n"/>
      <c r="N47" s="130" t="n"/>
      <c r="O47" s="130" t="n"/>
      <c r="P47" s="130" t="n"/>
      <c r="Q47" s="130" t="n"/>
      <c r="R47" s="130" t="n"/>
      <c r="S47" s="130" t="n"/>
      <c r="T47" s="130" t="n"/>
      <c r="U47" s="130" t="n"/>
      <c r="V47" s="130" t="n"/>
      <c r="W47" s="130" t="n"/>
      <c r="X47" s="130" t="n"/>
      <c r="Y47" s="130" t="n"/>
      <c r="Z47" s="130" t="n"/>
      <c r="AA47" s="130" t="n"/>
      <c r="AB47" s="130" t="n"/>
      <c r="AC47" s="130" t="n"/>
      <c r="AD47" s="130" t="n"/>
      <c r="AE47" s="130" t="n"/>
      <c r="AF47" s="130" t="n"/>
      <c r="AG47" s="130" t="n"/>
      <c r="AH47" s="130" t="n"/>
      <c r="AI47" s="130" t="n"/>
      <c r="AJ47" s="130" t="n"/>
    </row>
    <row r="48">
      <c r="A48" s="126">
        <f>IF('משימות'!$A33="","",'משימות'!A33)</f>
        <v/>
      </c>
      <c r="B48" s="127">
        <f>IF('משימות'!$A33="","",'משימות'!C33)</f>
        <v/>
      </c>
      <c r="C48" s="127">
        <f>IF('משימות'!$A33="","",'משימות'!D33)</f>
        <v/>
      </c>
      <c r="D48" s="128">
        <f>IF('משימות'!$A33="","",'משימות'!G33)</f>
        <v/>
      </c>
      <c r="E48" s="129">
        <f>IF('משימות'!$A33="","",'משימות'!J33)</f>
        <v/>
      </c>
      <c r="F48" s="129">
        <f>IF('משימות'!$A33="","",'משימות'!K33)</f>
        <v/>
      </c>
      <c r="G48" s="130" t="n"/>
      <c r="H48" s="130" t="n"/>
      <c r="I48" s="130" t="n"/>
      <c r="J48" s="130" t="n"/>
      <c r="K48" s="130" t="n"/>
      <c r="L48" s="130" t="n"/>
      <c r="M48" s="130" t="n"/>
      <c r="N48" s="130" t="n"/>
      <c r="O48" s="130" t="n"/>
      <c r="P48" s="130" t="n"/>
      <c r="Q48" s="130" t="n"/>
      <c r="R48" s="130" t="n"/>
      <c r="S48" s="130" t="n"/>
      <c r="T48" s="130" t="n"/>
      <c r="U48" s="130" t="n"/>
      <c r="V48" s="130" t="n"/>
      <c r="W48" s="130" t="n"/>
      <c r="X48" s="130" t="n"/>
      <c r="Y48" s="130" t="n"/>
      <c r="Z48" s="130" t="n"/>
      <c r="AA48" s="130" t="n"/>
      <c r="AB48" s="130" t="n"/>
      <c r="AC48" s="130" t="n"/>
      <c r="AD48" s="130" t="n"/>
      <c r="AE48" s="130" t="n"/>
      <c r="AF48" s="130" t="n"/>
      <c r="AG48" s="130" t="n"/>
      <c r="AH48" s="130" t="n"/>
      <c r="AI48" s="130" t="n"/>
      <c r="AJ48" s="130" t="n"/>
    </row>
    <row r="49">
      <c r="A49" s="126">
        <f>IF('משימות'!$A34="","",'משימות'!A34)</f>
        <v/>
      </c>
      <c r="B49" s="127">
        <f>IF('משימות'!$A34="","",'משימות'!C34)</f>
        <v/>
      </c>
      <c r="C49" s="127">
        <f>IF('משימות'!$A34="","",'משימות'!D34)</f>
        <v/>
      </c>
      <c r="D49" s="128">
        <f>IF('משימות'!$A34="","",'משימות'!G34)</f>
        <v/>
      </c>
      <c r="E49" s="129">
        <f>IF('משימות'!$A34="","",'משימות'!J34)</f>
        <v/>
      </c>
      <c r="F49" s="129">
        <f>IF('משימות'!$A34="","",'משימות'!K34)</f>
        <v/>
      </c>
      <c r="G49" s="130" t="n"/>
      <c r="H49" s="130" t="n"/>
      <c r="I49" s="130" t="n"/>
      <c r="J49" s="130" t="n"/>
      <c r="K49" s="130" t="n"/>
      <c r="L49" s="130" t="n"/>
      <c r="M49" s="130" t="n"/>
      <c r="N49" s="130" t="n"/>
      <c r="O49" s="130" t="n"/>
      <c r="P49" s="130" t="n"/>
      <c r="Q49" s="130" t="n"/>
      <c r="R49" s="130" t="n"/>
      <c r="S49" s="130" t="n"/>
      <c r="T49" s="130" t="n"/>
      <c r="U49" s="130" t="n"/>
      <c r="V49" s="130" t="n"/>
      <c r="W49" s="130" t="n"/>
      <c r="X49" s="130" t="n"/>
      <c r="Y49" s="130" t="n"/>
      <c r="Z49" s="130" t="n"/>
      <c r="AA49" s="130" t="n"/>
      <c r="AB49" s="130" t="n"/>
      <c r="AC49" s="130" t="n"/>
      <c r="AD49" s="130" t="n"/>
      <c r="AE49" s="130" t="n"/>
      <c r="AF49" s="130" t="n"/>
      <c r="AG49" s="130" t="n"/>
      <c r="AH49" s="130" t="n"/>
      <c r="AI49" s="130" t="n"/>
      <c r="AJ49" s="130" t="n"/>
    </row>
    <row r="50">
      <c r="A50" s="126">
        <f>IF('משימות'!$A35="","",'משימות'!A35)</f>
        <v/>
      </c>
      <c r="B50" s="127">
        <f>IF('משימות'!$A35="","",'משימות'!C35)</f>
        <v/>
      </c>
      <c r="C50" s="127">
        <f>IF('משימות'!$A35="","",'משימות'!D35)</f>
        <v/>
      </c>
      <c r="D50" s="128">
        <f>IF('משימות'!$A35="","",'משימות'!G35)</f>
        <v/>
      </c>
      <c r="E50" s="129">
        <f>IF('משימות'!$A35="","",'משימות'!J35)</f>
        <v/>
      </c>
      <c r="F50" s="129">
        <f>IF('משימות'!$A35="","",'משימות'!K35)</f>
        <v/>
      </c>
      <c r="G50" s="130" t="n"/>
      <c r="H50" s="130" t="n"/>
      <c r="I50" s="130" t="n"/>
      <c r="J50" s="130" t="n"/>
      <c r="K50" s="130" t="n"/>
      <c r="L50" s="130" t="n"/>
      <c r="M50" s="130" t="n"/>
      <c r="N50" s="130" t="n"/>
      <c r="O50" s="130" t="n"/>
      <c r="P50" s="130" t="n"/>
      <c r="Q50" s="130" t="n"/>
      <c r="R50" s="130" t="n"/>
      <c r="S50" s="130" t="n"/>
      <c r="T50" s="130" t="n"/>
      <c r="U50" s="130" t="n"/>
      <c r="V50" s="130" t="n"/>
      <c r="W50" s="130" t="n"/>
      <c r="X50" s="130" t="n"/>
      <c r="Y50" s="130" t="n"/>
      <c r="Z50" s="130" t="n"/>
      <c r="AA50" s="130" t="n"/>
      <c r="AB50" s="130" t="n"/>
      <c r="AC50" s="130" t="n"/>
      <c r="AD50" s="130" t="n"/>
      <c r="AE50" s="130" t="n"/>
      <c r="AF50" s="130" t="n"/>
      <c r="AG50" s="130" t="n"/>
      <c r="AH50" s="130" t="n"/>
      <c r="AI50" s="130" t="n"/>
      <c r="AJ50" s="130" t="n"/>
    </row>
    <row r="51">
      <c r="A51" s="126">
        <f>IF('משימות'!$A36="","",'משימות'!A36)</f>
        <v/>
      </c>
      <c r="B51" s="127">
        <f>IF('משימות'!$A36="","",'משימות'!C36)</f>
        <v/>
      </c>
      <c r="C51" s="127">
        <f>IF('משימות'!$A36="","",'משימות'!D36)</f>
        <v/>
      </c>
      <c r="D51" s="128">
        <f>IF('משימות'!$A36="","",'משימות'!G36)</f>
        <v/>
      </c>
      <c r="E51" s="129">
        <f>IF('משימות'!$A36="","",'משימות'!J36)</f>
        <v/>
      </c>
      <c r="F51" s="129">
        <f>IF('משימות'!$A36="","",'משימות'!K36)</f>
        <v/>
      </c>
      <c r="G51" s="130" t="n"/>
      <c r="H51" s="130" t="n"/>
      <c r="I51" s="130" t="n"/>
      <c r="J51" s="130" t="n"/>
      <c r="K51" s="130" t="n"/>
      <c r="L51" s="130" t="n"/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130" t="n"/>
      <c r="Y51" s="130" t="n"/>
      <c r="Z51" s="130" t="n"/>
      <c r="AA51" s="130" t="n"/>
      <c r="AB51" s="130" t="n"/>
      <c r="AC51" s="130" t="n"/>
      <c r="AD51" s="130" t="n"/>
      <c r="AE51" s="130" t="n"/>
      <c r="AF51" s="130" t="n"/>
      <c r="AG51" s="130" t="n"/>
      <c r="AH51" s="130" t="n"/>
      <c r="AI51" s="130" t="n"/>
      <c r="AJ51" s="130" t="n"/>
    </row>
    <row r="52">
      <c r="A52" s="126">
        <f>IF('משימות'!$A37="","",'משימות'!A37)</f>
        <v/>
      </c>
      <c r="B52" s="127">
        <f>IF('משימות'!$A37="","",'משימות'!C37)</f>
        <v/>
      </c>
      <c r="C52" s="127">
        <f>IF('משימות'!$A37="","",'משימות'!D37)</f>
        <v/>
      </c>
      <c r="D52" s="128">
        <f>IF('משימות'!$A37="","",'משימות'!G37)</f>
        <v/>
      </c>
      <c r="E52" s="129">
        <f>IF('משימות'!$A37="","",'משימות'!J37)</f>
        <v/>
      </c>
      <c r="F52" s="129">
        <f>IF('משימות'!$A37="","",'משימות'!K37)</f>
        <v/>
      </c>
      <c r="G52" s="130" t="n"/>
      <c r="H52" s="130" t="n"/>
      <c r="I52" s="130" t="n"/>
      <c r="J52" s="130" t="n"/>
      <c r="K52" s="130" t="n"/>
      <c r="L52" s="130" t="n"/>
      <c r="M52" s="130" t="n"/>
      <c r="N52" s="130" t="n"/>
      <c r="O52" s="130" t="n"/>
      <c r="P52" s="130" t="n"/>
      <c r="Q52" s="130" t="n"/>
      <c r="R52" s="130" t="n"/>
      <c r="S52" s="130" t="n"/>
      <c r="T52" s="130" t="n"/>
      <c r="U52" s="130" t="n"/>
      <c r="V52" s="130" t="n"/>
      <c r="W52" s="130" t="n"/>
      <c r="X52" s="130" t="n"/>
      <c r="Y52" s="130" t="n"/>
      <c r="Z52" s="130" t="n"/>
      <c r="AA52" s="130" t="n"/>
      <c r="AB52" s="130" t="n"/>
      <c r="AC52" s="130" t="n"/>
      <c r="AD52" s="130" t="n"/>
      <c r="AE52" s="130" t="n"/>
      <c r="AF52" s="130" t="n"/>
      <c r="AG52" s="130" t="n"/>
      <c r="AH52" s="130" t="n"/>
      <c r="AI52" s="130" t="n"/>
      <c r="AJ52" s="130" t="n"/>
    </row>
    <row r="53">
      <c r="A53" s="126">
        <f>IF('משימות'!$A38="","",'משימות'!A38)</f>
        <v/>
      </c>
      <c r="B53" s="127">
        <f>IF('משימות'!$A38="","",'משימות'!C38)</f>
        <v/>
      </c>
      <c r="C53" s="127">
        <f>IF('משימות'!$A38="","",'משימות'!D38)</f>
        <v/>
      </c>
      <c r="D53" s="128">
        <f>IF('משימות'!$A38="","",'משימות'!G38)</f>
        <v/>
      </c>
      <c r="E53" s="129">
        <f>IF('משימות'!$A38="","",'משימות'!J38)</f>
        <v/>
      </c>
      <c r="F53" s="129">
        <f>IF('משימות'!$A38="","",'משימות'!K38)</f>
        <v/>
      </c>
      <c r="G53" s="130" t="n"/>
      <c r="H53" s="130" t="n"/>
      <c r="I53" s="130" t="n"/>
      <c r="J53" s="130" t="n"/>
      <c r="K53" s="130" t="n"/>
      <c r="L53" s="130" t="n"/>
      <c r="M53" s="130" t="n"/>
      <c r="N53" s="130" t="n"/>
      <c r="O53" s="130" t="n"/>
      <c r="P53" s="130" t="n"/>
      <c r="Q53" s="130" t="n"/>
      <c r="R53" s="130" t="n"/>
      <c r="S53" s="130" t="n"/>
      <c r="T53" s="130" t="n"/>
      <c r="U53" s="130" t="n"/>
      <c r="V53" s="130" t="n"/>
      <c r="W53" s="130" t="n"/>
      <c r="X53" s="130" t="n"/>
      <c r="Y53" s="130" t="n"/>
      <c r="Z53" s="130" t="n"/>
      <c r="AA53" s="130" t="n"/>
      <c r="AB53" s="130" t="n"/>
      <c r="AC53" s="130" t="n"/>
      <c r="AD53" s="130" t="n"/>
      <c r="AE53" s="130" t="n"/>
      <c r="AF53" s="130" t="n"/>
      <c r="AG53" s="130" t="n"/>
      <c r="AH53" s="130" t="n"/>
      <c r="AI53" s="130" t="n"/>
      <c r="AJ53" s="130" t="n"/>
    </row>
    <row r="54">
      <c r="A54" s="126">
        <f>IF('משימות'!$A39="","",'משימות'!A39)</f>
        <v/>
      </c>
      <c r="B54" s="127">
        <f>IF('משימות'!$A39="","",'משימות'!C39)</f>
        <v/>
      </c>
      <c r="C54" s="127">
        <f>IF('משימות'!$A39="","",'משימות'!D39)</f>
        <v/>
      </c>
      <c r="D54" s="128">
        <f>IF('משימות'!$A39="","",'משימות'!G39)</f>
        <v/>
      </c>
      <c r="E54" s="129">
        <f>IF('משימות'!$A39="","",'משימות'!J39)</f>
        <v/>
      </c>
      <c r="F54" s="129">
        <f>IF('משימות'!$A39="","",'משימות'!K39)</f>
        <v/>
      </c>
      <c r="G54" s="130" t="n"/>
      <c r="H54" s="130" t="n"/>
      <c r="I54" s="130" t="n"/>
      <c r="J54" s="130" t="n"/>
      <c r="K54" s="130" t="n"/>
      <c r="L54" s="130" t="n"/>
      <c r="M54" s="130" t="n"/>
      <c r="N54" s="130" t="n"/>
      <c r="O54" s="130" t="n"/>
      <c r="P54" s="130" t="n"/>
      <c r="Q54" s="130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  <c r="AA54" s="130" t="n"/>
      <c r="AB54" s="130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</row>
    <row r="55">
      <c r="A55" s="126">
        <f>IF('משימות'!$A40="","",'משימות'!A40)</f>
        <v/>
      </c>
      <c r="B55" s="127">
        <f>IF('משימות'!$A40="","",'משימות'!C40)</f>
        <v/>
      </c>
      <c r="C55" s="127">
        <f>IF('משימות'!$A40="","",'משימות'!D40)</f>
        <v/>
      </c>
      <c r="D55" s="128">
        <f>IF('משימות'!$A40="","",'משימות'!G40)</f>
        <v/>
      </c>
      <c r="E55" s="129">
        <f>IF('משימות'!$A40="","",'משימות'!J40)</f>
        <v/>
      </c>
      <c r="F55" s="129">
        <f>IF('משימות'!$A40="","",'משימות'!K40)</f>
        <v/>
      </c>
      <c r="G55" s="130" t="n"/>
      <c r="H55" s="130" t="n"/>
      <c r="I55" s="130" t="n"/>
      <c r="J55" s="130" t="n"/>
      <c r="K55" s="130" t="n"/>
      <c r="L55" s="130" t="n"/>
      <c r="M55" s="130" t="n"/>
      <c r="N55" s="130" t="n"/>
      <c r="O55" s="130" t="n"/>
      <c r="P55" s="130" t="n"/>
      <c r="Q55" s="130" t="n"/>
      <c r="R55" s="130" t="n"/>
      <c r="S55" s="130" t="n"/>
      <c r="T55" s="130" t="n"/>
      <c r="U55" s="130" t="n"/>
      <c r="V55" s="130" t="n"/>
      <c r="W55" s="130" t="n"/>
      <c r="X55" s="130" t="n"/>
      <c r="Y55" s="130" t="n"/>
      <c r="Z55" s="130" t="n"/>
      <c r="AA55" s="130" t="n"/>
      <c r="AB55" s="130" t="n"/>
      <c r="AC55" s="130" t="n"/>
      <c r="AD55" s="130" t="n"/>
      <c r="AE55" s="130" t="n"/>
      <c r="AF55" s="130" t="n"/>
      <c r="AG55" s="130" t="n"/>
      <c r="AH55" s="130" t="n"/>
      <c r="AI55" s="130" t="n"/>
      <c r="AJ55" s="130" t="n"/>
    </row>
    <row r="56">
      <c r="A56" s="126">
        <f>IF('משימות'!$A41="","",'משימות'!A41)</f>
        <v/>
      </c>
      <c r="B56" s="127">
        <f>IF('משימות'!$A41="","",'משימות'!C41)</f>
        <v/>
      </c>
      <c r="C56" s="127">
        <f>IF('משימות'!$A41="","",'משימות'!D41)</f>
        <v/>
      </c>
      <c r="D56" s="128">
        <f>IF('משימות'!$A41="","",'משימות'!G41)</f>
        <v/>
      </c>
      <c r="E56" s="129">
        <f>IF('משימות'!$A41="","",'משימות'!J41)</f>
        <v/>
      </c>
      <c r="F56" s="129">
        <f>IF('משימות'!$A41="","",'משימות'!K41)</f>
        <v/>
      </c>
      <c r="G56" s="130" t="n"/>
      <c r="H56" s="130" t="n"/>
      <c r="I56" s="130" t="n"/>
      <c r="J56" s="130" t="n"/>
      <c r="K56" s="130" t="n"/>
      <c r="L56" s="130" t="n"/>
      <c r="M56" s="130" t="n"/>
      <c r="N56" s="130" t="n"/>
      <c r="O56" s="130" t="n"/>
      <c r="P56" s="130" t="n"/>
      <c r="Q56" s="130" t="n"/>
      <c r="R56" s="130" t="n"/>
      <c r="S56" s="130" t="n"/>
      <c r="T56" s="130" t="n"/>
      <c r="U56" s="130" t="n"/>
      <c r="V56" s="130" t="n"/>
      <c r="W56" s="130" t="n"/>
      <c r="X56" s="130" t="n"/>
      <c r="Y56" s="130" t="n"/>
      <c r="Z56" s="130" t="n"/>
      <c r="AA56" s="130" t="n"/>
      <c r="AB56" s="130" t="n"/>
      <c r="AC56" s="130" t="n"/>
      <c r="AD56" s="130" t="n"/>
      <c r="AE56" s="130" t="n"/>
      <c r="AF56" s="130" t="n"/>
      <c r="AG56" s="130" t="n"/>
      <c r="AH56" s="130" t="n"/>
      <c r="AI56" s="130" t="n"/>
      <c r="AJ56" s="130" t="n"/>
    </row>
    <row r="57">
      <c r="A57" s="126">
        <f>IF('משימות'!$A42="","",'משימות'!A42)</f>
        <v/>
      </c>
      <c r="B57" s="127">
        <f>IF('משימות'!$A42="","",'משימות'!C42)</f>
        <v/>
      </c>
      <c r="C57" s="127">
        <f>IF('משימות'!$A42="","",'משימות'!D42)</f>
        <v/>
      </c>
      <c r="D57" s="128">
        <f>IF('משימות'!$A42="","",'משימות'!G42)</f>
        <v/>
      </c>
      <c r="E57" s="129">
        <f>IF('משימות'!$A42="","",'משימות'!J42)</f>
        <v/>
      </c>
      <c r="F57" s="129">
        <f>IF('משימות'!$A42="","",'משימות'!K42)</f>
        <v/>
      </c>
      <c r="G57" s="130" t="n"/>
      <c r="H57" s="130" t="n"/>
      <c r="I57" s="130" t="n"/>
      <c r="J57" s="130" t="n"/>
      <c r="K57" s="130" t="n"/>
      <c r="L57" s="130" t="n"/>
      <c r="M57" s="130" t="n"/>
      <c r="N57" s="130" t="n"/>
      <c r="O57" s="130" t="n"/>
      <c r="P57" s="130" t="n"/>
      <c r="Q57" s="130" t="n"/>
      <c r="R57" s="130" t="n"/>
      <c r="S57" s="130" t="n"/>
      <c r="T57" s="130" t="n"/>
      <c r="U57" s="130" t="n"/>
      <c r="V57" s="130" t="n"/>
      <c r="W57" s="130" t="n"/>
      <c r="X57" s="130" t="n"/>
      <c r="Y57" s="130" t="n"/>
      <c r="Z57" s="130" t="n"/>
      <c r="AA57" s="130" t="n"/>
      <c r="AB57" s="130" t="n"/>
      <c r="AC57" s="130" t="n"/>
      <c r="AD57" s="130" t="n"/>
      <c r="AE57" s="130" t="n"/>
      <c r="AF57" s="130" t="n"/>
      <c r="AG57" s="130" t="n"/>
      <c r="AH57" s="130" t="n"/>
      <c r="AI57" s="130" t="n"/>
      <c r="AJ57" s="130" t="n"/>
    </row>
    <row r="58">
      <c r="A58" s="126">
        <f>IF('משימות'!$A43="","",'משימות'!A43)</f>
        <v/>
      </c>
      <c r="B58" s="127">
        <f>IF('משימות'!$A43="","",'משימות'!C43)</f>
        <v/>
      </c>
      <c r="C58" s="127">
        <f>IF('משימות'!$A43="","",'משימות'!D43)</f>
        <v/>
      </c>
      <c r="D58" s="128">
        <f>IF('משימות'!$A43="","",'משימות'!G43)</f>
        <v/>
      </c>
      <c r="E58" s="129">
        <f>IF('משימות'!$A43="","",'משימות'!J43)</f>
        <v/>
      </c>
      <c r="F58" s="129">
        <f>IF('משימות'!$A43="","",'משימות'!K43)</f>
        <v/>
      </c>
      <c r="G58" s="130" t="n"/>
      <c r="H58" s="130" t="n"/>
      <c r="I58" s="130" t="n"/>
      <c r="J58" s="130" t="n"/>
      <c r="K58" s="130" t="n"/>
      <c r="L58" s="130" t="n"/>
      <c r="M58" s="130" t="n"/>
      <c r="N58" s="130" t="n"/>
      <c r="O58" s="130" t="n"/>
      <c r="P58" s="130" t="n"/>
      <c r="Q58" s="130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  <c r="AA58" s="130" t="n"/>
      <c r="AB58" s="130" t="n"/>
      <c r="AC58" s="130" t="n"/>
      <c r="AD58" s="130" t="n"/>
      <c r="AE58" s="130" t="n"/>
      <c r="AF58" s="130" t="n"/>
      <c r="AG58" s="130" t="n"/>
      <c r="AH58" s="130" t="n"/>
      <c r="AI58" s="130" t="n"/>
      <c r="AJ58" s="130" t="n"/>
    </row>
    <row r="59">
      <c r="A59" s="126">
        <f>IF('משימות'!$A44="","",'משימות'!A44)</f>
        <v/>
      </c>
      <c r="B59" s="127">
        <f>IF('משימות'!$A44="","",'משימות'!C44)</f>
        <v/>
      </c>
      <c r="C59" s="127">
        <f>IF('משימות'!$A44="","",'משימות'!D44)</f>
        <v/>
      </c>
      <c r="D59" s="128">
        <f>IF('משימות'!$A44="","",'משימות'!G44)</f>
        <v/>
      </c>
      <c r="E59" s="129">
        <f>IF('משימות'!$A44="","",'משימות'!J44)</f>
        <v/>
      </c>
      <c r="F59" s="129">
        <f>IF('משימות'!$A44="","",'משימות'!K44)</f>
        <v/>
      </c>
      <c r="G59" s="130" t="n"/>
      <c r="H59" s="130" t="n"/>
      <c r="I59" s="130" t="n"/>
      <c r="J59" s="130" t="n"/>
      <c r="K59" s="130" t="n"/>
      <c r="L59" s="130" t="n"/>
      <c r="M59" s="130" t="n"/>
      <c r="N59" s="130" t="n"/>
      <c r="O59" s="130" t="n"/>
      <c r="P59" s="130" t="n"/>
      <c r="Q59" s="130" t="n"/>
      <c r="R59" s="130" t="n"/>
      <c r="S59" s="130" t="n"/>
      <c r="T59" s="130" t="n"/>
      <c r="U59" s="130" t="n"/>
      <c r="V59" s="130" t="n"/>
      <c r="W59" s="130" t="n"/>
      <c r="X59" s="130" t="n"/>
      <c r="Y59" s="130" t="n"/>
      <c r="Z59" s="130" t="n"/>
      <c r="AA59" s="130" t="n"/>
      <c r="AB59" s="130" t="n"/>
      <c r="AC59" s="130" t="n"/>
      <c r="AD59" s="130" t="n"/>
      <c r="AE59" s="130" t="n"/>
      <c r="AF59" s="130" t="n"/>
      <c r="AG59" s="130" t="n"/>
      <c r="AH59" s="130" t="n"/>
      <c r="AI59" s="130" t="n"/>
      <c r="AJ59" s="130" t="n"/>
    </row>
    <row r="60">
      <c r="A60" s="126">
        <f>IF('משימות'!$A45="","",'משימות'!A45)</f>
        <v/>
      </c>
      <c r="B60" s="127">
        <f>IF('משימות'!$A45="","",'משימות'!C45)</f>
        <v/>
      </c>
      <c r="C60" s="127">
        <f>IF('משימות'!$A45="","",'משימות'!D45)</f>
        <v/>
      </c>
      <c r="D60" s="128">
        <f>IF('משימות'!$A45="","",'משימות'!G45)</f>
        <v/>
      </c>
      <c r="E60" s="129">
        <f>IF('משימות'!$A45="","",'משימות'!J45)</f>
        <v/>
      </c>
      <c r="F60" s="129">
        <f>IF('משימות'!$A45="","",'משימות'!K45)</f>
        <v/>
      </c>
      <c r="G60" s="130" t="n"/>
      <c r="H60" s="130" t="n"/>
      <c r="I60" s="130" t="n"/>
      <c r="J60" s="130" t="n"/>
      <c r="K60" s="130" t="n"/>
      <c r="L60" s="130" t="n"/>
      <c r="M60" s="130" t="n"/>
      <c r="N60" s="130" t="n"/>
      <c r="O60" s="130" t="n"/>
      <c r="P60" s="130" t="n"/>
      <c r="Q60" s="130" t="n"/>
      <c r="R60" s="130" t="n"/>
      <c r="S60" s="130" t="n"/>
      <c r="T60" s="130" t="n"/>
      <c r="U60" s="130" t="n"/>
      <c r="V60" s="130" t="n"/>
      <c r="W60" s="130" t="n"/>
      <c r="X60" s="130" t="n"/>
      <c r="Y60" s="130" t="n"/>
      <c r="Z60" s="130" t="n"/>
      <c r="AA60" s="130" t="n"/>
      <c r="AB60" s="130" t="n"/>
      <c r="AC60" s="130" t="n"/>
      <c r="AD60" s="130" t="n"/>
      <c r="AE60" s="130" t="n"/>
      <c r="AF60" s="130" t="n"/>
      <c r="AG60" s="130" t="n"/>
      <c r="AH60" s="130" t="n"/>
      <c r="AI60" s="130" t="n"/>
      <c r="AJ60" s="130" t="n"/>
    </row>
    <row r="61">
      <c r="A61" s="126">
        <f>IF('משימות'!$A46="","",'משימות'!A46)</f>
        <v/>
      </c>
      <c r="B61" s="127">
        <f>IF('משימות'!$A46="","",'משימות'!C46)</f>
        <v/>
      </c>
      <c r="C61" s="127">
        <f>IF('משימות'!$A46="","",'משימות'!D46)</f>
        <v/>
      </c>
      <c r="D61" s="128">
        <f>IF('משימות'!$A46="","",'משימות'!G46)</f>
        <v/>
      </c>
      <c r="E61" s="129">
        <f>IF('משימות'!$A46="","",'משימות'!J46)</f>
        <v/>
      </c>
      <c r="F61" s="129">
        <f>IF('משימות'!$A46="","",'משימות'!K46)</f>
        <v/>
      </c>
      <c r="G61" s="130" t="n"/>
      <c r="H61" s="130" t="n"/>
      <c r="I61" s="130" t="n"/>
      <c r="J61" s="130" t="n"/>
      <c r="K61" s="130" t="n"/>
      <c r="L61" s="130" t="n"/>
      <c r="M61" s="130" t="n"/>
      <c r="N61" s="130" t="n"/>
      <c r="O61" s="130" t="n"/>
      <c r="P61" s="130" t="n"/>
      <c r="Q61" s="130" t="n"/>
      <c r="R61" s="130" t="n"/>
      <c r="S61" s="130" t="n"/>
      <c r="T61" s="130" t="n"/>
      <c r="U61" s="130" t="n"/>
      <c r="V61" s="130" t="n"/>
      <c r="W61" s="130" t="n"/>
      <c r="X61" s="130" t="n"/>
      <c r="Y61" s="130" t="n"/>
      <c r="Z61" s="130" t="n"/>
      <c r="AA61" s="130" t="n"/>
      <c r="AB61" s="130" t="n"/>
      <c r="AC61" s="130" t="n"/>
      <c r="AD61" s="130" t="n"/>
      <c r="AE61" s="130" t="n"/>
      <c r="AF61" s="130" t="n"/>
      <c r="AG61" s="130" t="n"/>
      <c r="AH61" s="130" t="n"/>
      <c r="AI61" s="130" t="n"/>
      <c r="AJ61" s="130" t="n"/>
    </row>
    <row r="62">
      <c r="A62" s="126">
        <f>IF('משימות'!$A47="","",'משימות'!A47)</f>
        <v/>
      </c>
      <c r="B62" s="127">
        <f>IF('משימות'!$A47="","",'משימות'!C47)</f>
        <v/>
      </c>
      <c r="C62" s="127">
        <f>IF('משימות'!$A47="","",'משימות'!D47)</f>
        <v/>
      </c>
      <c r="D62" s="128">
        <f>IF('משימות'!$A47="","",'משימות'!G47)</f>
        <v/>
      </c>
      <c r="E62" s="129">
        <f>IF('משימות'!$A47="","",'משימות'!J47)</f>
        <v/>
      </c>
      <c r="F62" s="129">
        <f>IF('משימות'!$A47="","",'משימות'!K47)</f>
        <v/>
      </c>
      <c r="G62" s="130" t="n"/>
      <c r="H62" s="130" t="n"/>
      <c r="I62" s="130" t="n"/>
      <c r="J62" s="130" t="n"/>
      <c r="K62" s="130" t="n"/>
      <c r="L62" s="130" t="n"/>
      <c r="M62" s="130" t="n"/>
      <c r="N62" s="130" t="n"/>
      <c r="O62" s="130" t="n"/>
      <c r="P62" s="130" t="n"/>
      <c r="Q62" s="130" t="n"/>
      <c r="R62" s="130" t="n"/>
      <c r="S62" s="130" t="n"/>
      <c r="T62" s="130" t="n"/>
      <c r="U62" s="130" t="n"/>
      <c r="V62" s="130" t="n"/>
      <c r="W62" s="130" t="n"/>
      <c r="X62" s="130" t="n"/>
      <c r="Y62" s="130" t="n"/>
      <c r="Z62" s="130" t="n"/>
      <c r="AA62" s="130" t="n"/>
      <c r="AB62" s="130" t="n"/>
      <c r="AC62" s="130" t="n"/>
      <c r="AD62" s="130" t="n"/>
      <c r="AE62" s="130" t="n"/>
      <c r="AF62" s="130" t="n"/>
      <c r="AG62" s="130" t="n"/>
      <c r="AH62" s="130" t="n"/>
      <c r="AI62" s="130" t="n"/>
      <c r="AJ62" s="130" t="n"/>
    </row>
    <row r="63">
      <c r="A63" s="126">
        <f>IF('משימות'!$A48="","",'משימות'!A48)</f>
        <v/>
      </c>
      <c r="B63" s="127">
        <f>IF('משימות'!$A48="","",'משימות'!C48)</f>
        <v/>
      </c>
      <c r="C63" s="127">
        <f>IF('משימות'!$A48="","",'משימות'!D48)</f>
        <v/>
      </c>
      <c r="D63" s="128">
        <f>IF('משימות'!$A48="","",'משימות'!G48)</f>
        <v/>
      </c>
      <c r="E63" s="129">
        <f>IF('משימות'!$A48="","",'משימות'!J48)</f>
        <v/>
      </c>
      <c r="F63" s="129">
        <f>IF('משימות'!$A48="","",'משימות'!K48)</f>
        <v/>
      </c>
      <c r="G63" s="130" t="n"/>
      <c r="H63" s="130" t="n"/>
      <c r="I63" s="130" t="n"/>
      <c r="J63" s="130" t="n"/>
      <c r="K63" s="130" t="n"/>
      <c r="L63" s="130" t="n"/>
      <c r="M63" s="130" t="n"/>
      <c r="N63" s="130" t="n"/>
      <c r="O63" s="130" t="n"/>
      <c r="P63" s="130" t="n"/>
      <c r="Q63" s="130" t="n"/>
      <c r="R63" s="130" t="n"/>
      <c r="S63" s="130" t="n"/>
      <c r="T63" s="130" t="n"/>
      <c r="U63" s="130" t="n"/>
      <c r="V63" s="130" t="n"/>
      <c r="W63" s="130" t="n"/>
      <c r="X63" s="130" t="n"/>
      <c r="Y63" s="130" t="n"/>
      <c r="Z63" s="130" t="n"/>
      <c r="AA63" s="130" t="n"/>
      <c r="AB63" s="130" t="n"/>
      <c r="AC63" s="130" t="n"/>
      <c r="AD63" s="130" t="n"/>
      <c r="AE63" s="130" t="n"/>
      <c r="AF63" s="130" t="n"/>
      <c r="AG63" s="130" t="n"/>
      <c r="AH63" s="130" t="n"/>
      <c r="AI63" s="130" t="n"/>
      <c r="AJ63" s="130" t="n"/>
    </row>
    <row r="64">
      <c r="A64" s="126">
        <f>IF('משימות'!$A49="","",'משימות'!A49)</f>
        <v/>
      </c>
      <c r="B64" s="127">
        <f>IF('משימות'!$A49="","",'משימות'!C49)</f>
        <v/>
      </c>
      <c r="C64" s="127">
        <f>IF('משימות'!$A49="","",'משימות'!D49)</f>
        <v/>
      </c>
      <c r="D64" s="128">
        <f>IF('משימות'!$A49="","",'משימות'!G49)</f>
        <v/>
      </c>
      <c r="E64" s="129">
        <f>IF('משימות'!$A49="","",'משימות'!J49)</f>
        <v/>
      </c>
      <c r="F64" s="129">
        <f>IF('משימות'!$A49="","",'משימות'!K49)</f>
        <v/>
      </c>
      <c r="G64" s="130" t="n"/>
      <c r="H64" s="130" t="n"/>
      <c r="I64" s="130" t="n"/>
      <c r="J64" s="130" t="n"/>
      <c r="K64" s="130" t="n"/>
      <c r="L64" s="130" t="n"/>
      <c r="M64" s="130" t="n"/>
      <c r="N64" s="130" t="n"/>
      <c r="O64" s="130" t="n"/>
      <c r="P64" s="130" t="n"/>
      <c r="Q64" s="130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  <c r="AA64" s="130" t="n"/>
      <c r="AB64" s="130" t="n"/>
      <c r="AC64" s="130" t="n"/>
      <c r="AD64" s="130" t="n"/>
      <c r="AE64" s="130" t="n"/>
      <c r="AF64" s="130" t="n"/>
      <c r="AG64" s="130" t="n"/>
      <c r="AH64" s="130" t="n"/>
      <c r="AI64" s="130" t="n"/>
      <c r="AJ64" s="130" t="n"/>
    </row>
    <row r="65">
      <c r="A65" s="126">
        <f>IF('משימות'!$A50="","",'משימות'!A50)</f>
        <v/>
      </c>
      <c r="B65" s="127">
        <f>IF('משימות'!$A50="","",'משימות'!C50)</f>
        <v/>
      </c>
      <c r="C65" s="127">
        <f>IF('משימות'!$A50="","",'משימות'!D50)</f>
        <v/>
      </c>
      <c r="D65" s="128">
        <f>IF('משימות'!$A50="","",'משימות'!G50)</f>
        <v/>
      </c>
      <c r="E65" s="129">
        <f>IF('משימות'!$A50="","",'משימות'!J50)</f>
        <v/>
      </c>
      <c r="F65" s="129">
        <f>IF('משימות'!$A50="","",'משימות'!K50)</f>
        <v/>
      </c>
      <c r="G65" s="130" t="n"/>
      <c r="H65" s="130" t="n"/>
      <c r="I65" s="130" t="n"/>
      <c r="J65" s="130" t="n"/>
      <c r="K65" s="130" t="n"/>
      <c r="L65" s="130" t="n"/>
      <c r="M65" s="130" t="n"/>
      <c r="N65" s="130" t="n"/>
      <c r="O65" s="130" t="n"/>
      <c r="P65" s="130" t="n"/>
      <c r="Q65" s="130" t="n"/>
      <c r="R65" s="130" t="n"/>
      <c r="S65" s="130" t="n"/>
      <c r="T65" s="130" t="n"/>
      <c r="U65" s="130" t="n"/>
      <c r="V65" s="130" t="n"/>
      <c r="W65" s="130" t="n"/>
      <c r="X65" s="130" t="n"/>
      <c r="Y65" s="130" t="n"/>
      <c r="Z65" s="130" t="n"/>
      <c r="AA65" s="130" t="n"/>
      <c r="AB65" s="130" t="n"/>
      <c r="AC65" s="130" t="n"/>
      <c r="AD65" s="130" t="n"/>
      <c r="AE65" s="130" t="n"/>
      <c r="AF65" s="130" t="n"/>
      <c r="AG65" s="130" t="n"/>
      <c r="AH65" s="130" t="n"/>
      <c r="AI65" s="130" t="n"/>
      <c r="AJ65" s="130" t="n"/>
    </row>
    <row r="66">
      <c r="A66" s="126">
        <f>IF('משימות'!$A51="","",'משימות'!A51)</f>
        <v/>
      </c>
      <c r="B66" s="127">
        <f>IF('משימות'!$A51="","",'משימות'!C51)</f>
        <v/>
      </c>
      <c r="C66" s="127">
        <f>IF('משימות'!$A51="","",'משימות'!D51)</f>
        <v/>
      </c>
      <c r="D66" s="128">
        <f>IF('משימות'!$A51="","",'משימות'!G51)</f>
        <v/>
      </c>
      <c r="E66" s="129">
        <f>IF('משימות'!$A51="","",'משימות'!J51)</f>
        <v/>
      </c>
      <c r="F66" s="129">
        <f>IF('משימות'!$A51="","",'משימות'!K51)</f>
        <v/>
      </c>
      <c r="G66" s="130" t="n"/>
      <c r="H66" s="130" t="n"/>
      <c r="I66" s="130" t="n"/>
      <c r="J66" s="130" t="n"/>
      <c r="K66" s="130" t="n"/>
      <c r="L66" s="130" t="n"/>
      <c r="M66" s="130" t="n"/>
      <c r="N66" s="130" t="n"/>
      <c r="O66" s="130" t="n"/>
      <c r="P66" s="130" t="n"/>
      <c r="Q66" s="130" t="n"/>
      <c r="R66" s="130" t="n"/>
      <c r="S66" s="130" t="n"/>
      <c r="T66" s="130" t="n"/>
      <c r="U66" s="130" t="n"/>
      <c r="V66" s="130" t="n"/>
      <c r="W66" s="130" t="n"/>
      <c r="X66" s="130" t="n"/>
      <c r="Y66" s="130" t="n"/>
      <c r="Z66" s="130" t="n"/>
      <c r="AA66" s="130" t="n"/>
      <c r="AB66" s="130" t="n"/>
      <c r="AC66" s="130" t="n"/>
      <c r="AD66" s="130" t="n"/>
      <c r="AE66" s="130" t="n"/>
      <c r="AF66" s="130" t="n"/>
      <c r="AG66" s="130" t="n"/>
      <c r="AH66" s="130" t="n"/>
      <c r="AI66" s="130" t="n"/>
      <c r="AJ66" s="130" t="n"/>
    </row>
    <row r="67">
      <c r="A67" s="126">
        <f>IF('משימות'!$A52="","",'משימות'!A52)</f>
        <v/>
      </c>
      <c r="B67" s="127">
        <f>IF('משימות'!$A52="","",'משימות'!C52)</f>
        <v/>
      </c>
      <c r="C67" s="127">
        <f>IF('משימות'!$A52="","",'משימות'!D52)</f>
        <v/>
      </c>
      <c r="D67" s="128">
        <f>IF('משימות'!$A52="","",'משימות'!G52)</f>
        <v/>
      </c>
      <c r="E67" s="129">
        <f>IF('משימות'!$A52="","",'משימות'!J52)</f>
        <v/>
      </c>
      <c r="F67" s="129">
        <f>IF('משימות'!$A52="","",'משימות'!K52)</f>
        <v/>
      </c>
      <c r="G67" s="130" t="n"/>
      <c r="H67" s="130" t="n"/>
      <c r="I67" s="130" t="n"/>
      <c r="J67" s="130" t="n"/>
      <c r="K67" s="130" t="n"/>
      <c r="L67" s="130" t="n"/>
      <c r="M67" s="130" t="n"/>
      <c r="N67" s="130" t="n"/>
      <c r="O67" s="130" t="n"/>
      <c r="P67" s="130" t="n"/>
      <c r="Q67" s="130" t="n"/>
      <c r="R67" s="130" t="n"/>
      <c r="S67" s="130" t="n"/>
      <c r="T67" s="130" t="n"/>
      <c r="U67" s="130" t="n"/>
      <c r="V67" s="130" t="n"/>
      <c r="W67" s="130" t="n"/>
      <c r="X67" s="130" t="n"/>
      <c r="Y67" s="130" t="n"/>
      <c r="Z67" s="130" t="n"/>
      <c r="AA67" s="130" t="n"/>
      <c r="AB67" s="130" t="n"/>
      <c r="AC67" s="130" t="n"/>
      <c r="AD67" s="130" t="n"/>
      <c r="AE67" s="130" t="n"/>
      <c r="AF67" s="130" t="n"/>
      <c r="AG67" s="130" t="n"/>
      <c r="AH67" s="130" t="n"/>
      <c r="AI67" s="130" t="n"/>
      <c r="AJ67" s="130" t="n"/>
    </row>
    <row r="68">
      <c r="A68" s="126">
        <f>IF('משימות'!$A53="","",'משימות'!A53)</f>
        <v/>
      </c>
      <c r="B68" s="127">
        <f>IF('משימות'!$A53="","",'משימות'!C53)</f>
        <v/>
      </c>
      <c r="C68" s="127">
        <f>IF('משימות'!$A53="","",'משימות'!D53)</f>
        <v/>
      </c>
      <c r="D68" s="128">
        <f>IF('משימות'!$A53="","",'משימות'!G53)</f>
        <v/>
      </c>
      <c r="E68" s="129">
        <f>IF('משימות'!$A53="","",'משימות'!J53)</f>
        <v/>
      </c>
      <c r="F68" s="129">
        <f>IF('משימות'!$A53="","",'משימות'!K53)</f>
        <v/>
      </c>
      <c r="G68" s="130" t="n"/>
      <c r="H68" s="130" t="n"/>
      <c r="I68" s="130" t="n"/>
      <c r="J68" s="130" t="n"/>
      <c r="K68" s="130" t="n"/>
      <c r="L68" s="130" t="n"/>
      <c r="M68" s="130" t="n"/>
      <c r="N68" s="130" t="n"/>
      <c r="O68" s="130" t="n"/>
      <c r="P68" s="130" t="n"/>
      <c r="Q68" s="130" t="n"/>
      <c r="R68" s="130" t="n"/>
      <c r="S68" s="130" t="n"/>
      <c r="T68" s="130" t="n"/>
      <c r="U68" s="130" t="n"/>
      <c r="V68" s="130" t="n"/>
      <c r="W68" s="130" t="n"/>
      <c r="X68" s="130" t="n"/>
      <c r="Y68" s="130" t="n"/>
      <c r="Z68" s="130" t="n"/>
      <c r="AA68" s="130" t="n"/>
      <c r="AB68" s="130" t="n"/>
      <c r="AC68" s="130" t="n"/>
      <c r="AD68" s="130" t="n"/>
      <c r="AE68" s="130" t="n"/>
      <c r="AF68" s="130" t="n"/>
      <c r="AG68" s="130" t="n"/>
      <c r="AH68" s="130" t="n"/>
      <c r="AI68" s="130" t="n"/>
      <c r="AJ68" s="130" t="n"/>
    </row>
    <row r="69">
      <c r="A69" s="126">
        <f>IF('משימות'!$A54="","",'משימות'!A54)</f>
        <v/>
      </c>
      <c r="B69" s="127">
        <f>IF('משימות'!$A54="","",'משימות'!C54)</f>
        <v/>
      </c>
      <c r="C69" s="127">
        <f>IF('משימות'!$A54="","",'משימות'!D54)</f>
        <v/>
      </c>
      <c r="D69" s="128">
        <f>IF('משימות'!$A54="","",'משימות'!G54)</f>
        <v/>
      </c>
      <c r="E69" s="129">
        <f>IF('משימות'!$A54="","",'משימות'!J54)</f>
        <v/>
      </c>
      <c r="F69" s="129">
        <f>IF('משימות'!$A54="","",'משימות'!K54)</f>
        <v/>
      </c>
      <c r="G69" s="130" t="n"/>
      <c r="H69" s="130" t="n"/>
      <c r="I69" s="130" t="n"/>
      <c r="J69" s="130" t="n"/>
      <c r="K69" s="130" t="n"/>
      <c r="L69" s="130" t="n"/>
      <c r="M69" s="130" t="n"/>
      <c r="N69" s="130" t="n"/>
      <c r="O69" s="130" t="n"/>
      <c r="P69" s="130" t="n"/>
      <c r="Q69" s="130" t="n"/>
      <c r="R69" s="130" t="n"/>
      <c r="S69" s="130" t="n"/>
      <c r="T69" s="130" t="n"/>
      <c r="U69" s="130" t="n"/>
      <c r="V69" s="130" t="n"/>
      <c r="W69" s="130" t="n"/>
      <c r="X69" s="130" t="n"/>
      <c r="Y69" s="130" t="n"/>
      <c r="Z69" s="130" t="n"/>
      <c r="AA69" s="130" t="n"/>
      <c r="AB69" s="130" t="n"/>
      <c r="AC69" s="130" t="n"/>
      <c r="AD69" s="130" t="n"/>
      <c r="AE69" s="130" t="n"/>
      <c r="AF69" s="130" t="n"/>
      <c r="AG69" s="130" t="n"/>
      <c r="AH69" s="130" t="n"/>
      <c r="AI69" s="130" t="n"/>
      <c r="AJ69" s="130" t="n"/>
    </row>
    <row r="70">
      <c r="A70" s="126">
        <f>IF('משימות'!$A55="","",'משימות'!A55)</f>
        <v/>
      </c>
      <c r="B70" s="127">
        <f>IF('משימות'!$A55="","",'משימות'!C55)</f>
        <v/>
      </c>
      <c r="C70" s="127">
        <f>IF('משימות'!$A55="","",'משימות'!D55)</f>
        <v/>
      </c>
      <c r="D70" s="128">
        <f>IF('משימות'!$A55="","",'משימות'!G55)</f>
        <v/>
      </c>
      <c r="E70" s="129">
        <f>IF('משימות'!$A55="","",'משימות'!J55)</f>
        <v/>
      </c>
      <c r="F70" s="129">
        <f>IF('משימות'!$A55="","",'משימות'!K55)</f>
        <v/>
      </c>
      <c r="G70" s="130" t="n"/>
      <c r="H70" s="130" t="n"/>
      <c r="I70" s="130" t="n"/>
      <c r="J70" s="130" t="n"/>
      <c r="K70" s="130" t="n"/>
      <c r="L70" s="130" t="n"/>
      <c r="M70" s="130" t="n"/>
      <c r="N70" s="130" t="n"/>
      <c r="O70" s="130" t="n"/>
      <c r="P70" s="130" t="n"/>
      <c r="Q70" s="130" t="n"/>
      <c r="R70" s="130" t="n"/>
      <c r="S70" s="130" t="n"/>
      <c r="T70" s="130" t="n"/>
      <c r="U70" s="130" t="n"/>
      <c r="V70" s="130" t="n"/>
      <c r="W70" s="130" t="n"/>
      <c r="X70" s="130" t="n"/>
      <c r="Y70" s="130" t="n"/>
      <c r="Z70" s="130" t="n"/>
      <c r="AA70" s="130" t="n"/>
      <c r="AB70" s="130" t="n"/>
      <c r="AC70" s="130" t="n"/>
      <c r="AD70" s="130" t="n"/>
      <c r="AE70" s="130" t="n"/>
      <c r="AF70" s="130" t="n"/>
      <c r="AG70" s="130" t="n"/>
      <c r="AH70" s="130" t="n"/>
      <c r="AI70" s="130" t="n"/>
      <c r="AJ70" s="130" t="n"/>
    </row>
    <row r="71">
      <c r="A71" s="126">
        <f>IF('משימות'!$A56="","",'משימות'!A56)</f>
        <v/>
      </c>
      <c r="B71" s="127">
        <f>IF('משימות'!$A56="","",'משימות'!C56)</f>
        <v/>
      </c>
      <c r="C71" s="127">
        <f>IF('משימות'!$A56="","",'משימות'!D56)</f>
        <v/>
      </c>
      <c r="D71" s="128">
        <f>IF('משימות'!$A56="","",'משימות'!G56)</f>
        <v/>
      </c>
      <c r="E71" s="129">
        <f>IF('משימות'!$A56="","",'משימות'!J56)</f>
        <v/>
      </c>
      <c r="F71" s="129">
        <f>IF('משימות'!$A56="","",'משימות'!K56)</f>
        <v/>
      </c>
      <c r="G71" s="130" t="n"/>
      <c r="H71" s="130" t="n"/>
      <c r="I71" s="130" t="n"/>
      <c r="J71" s="130" t="n"/>
      <c r="K71" s="130" t="n"/>
      <c r="L71" s="130" t="n"/>
      <c r="M71" s="130" t="n"/>
      <c r="N71" s="130" t="n"/>
      <c r="O71" s="130" t="n"/>
      <c r="P71" s="130" t="n"/>
      <c r="Q71" s="130" t="n"/>
      <c r="R71" s="130" t="n"/>
      <c r="S71" s="130" t="n"/>
      <c r="T71" s="130" t="n"/>
      <c r="U71" s="130" t="n"/>
      <c r="V71" s="130" t="n"/>
      <c r="W71" s="130" t="n"/>
      <c r="X71" s="130" t="n"/>
      <c r="Y71" s="130" t="n"/>
      <c r="Z71" s="130" t="n"/>
      <c r="AA71" s="130" t="n"/>
      <c r="AB71" s="130" t="n"/>
      <c r="AC71" s="130" t="n"/>
      <c r="AD71" s="130" t="n"/>
      <c r="AE71" s="130" t="n"/>
      <c r="AF71" s="130" t="n"/>
      <c r="AG71" s="130" t="n"/>
      <c r="AH71" s="130" t="n"/>
      <c r="AI71" s="130" t="n"/>
      <c r="AJ71" s="130" t="n"/>
    </row>
    <row r="72">
      <c r="A72" s="126">
        <f>IF('משימות'!$A57="","",'משימות'!A57)</f>
        <v/>
      </c>
      <c r="B72" s="127">
        <f>IF('משימות'!$A57="","",'משימות'!C57)</f>
        <v/>
      </c>
      <c r="C72" s="127">
        <f>IF('משימות'!$A57="","",'משימות'!D57)</f>
        <v/>
      </c>
      <c r="D72" s="128">
        <f>IF('משימות'!$A57="","",'משימות'!G57)</f>
        <v/>
      </c>
      <c r="E72" s="129">
        <f>IF('משימות'!$A57="","",'משימות'!J57)</f>
        <v/>
      </c>
      <c r="F72" s="129">
        <f>IF('משימות'!$A57="","",'משימות'!K57)</f>
        <v/>
      </c>
      <c r="G72" s="130" t="n"/>
      <c r="H72" s="130" t="n"/>
      <c r="I72" s="130" t="n"/>
      <c r="J72" s="130" t="n"/>
      <c r="K72" s="130" t="n"/>
      <c r="L72" s="130" t="n"/>
      <c r="M72" s="130" t="n"/>
      <c r="N72" s="130" t="n"/>
      <c r="O72" s="130" t="n"/>
      <c r="P72" s="130" t="n"/>
      <c r="Q72" s="130" t="n"/>
      <c r="R72" s="130" t="n"/>
      <c r="S72" s="130" t="n"/>
      <c r="T72" s="130" t="n"/>
      <c r="U72" s="130" t="n"/>
      <c r="V72" s="130" t="n"/>
      <c r="W72" s="130" t="n"/>
      <c r="X72" s="130" t="n"/>
      <c r="Y72" s="130" t="n"/>
      <c r="Z72" s="130" t="n"/>
      <c r="AA72" s="130" t="n"/>
      <c r="AB72" s="130" t="n"/>
      <c r="AC72" s="130" t="n"/>
      <c r="AD72" s="130" t="n"/>
      <c r="AE72" s="130" t="n"/>
      <c r="AF72" s="130" t="n"/>
      <c r="AG72" s="130" t="n"/>
      <c r="AH72" s="130" t="n"/>
      <c r="AI72" s="130" t="n"/>
      <c r="AJ72" s="130" t="n"/>
    </row>
    <row r="73">
      <c r="A73" s="126">
        <f>IF('משימות'!$A58="","",'משימות'!A58)</f>
        <v/>
      </c>
      <c r="B73" s="127">
        <f>IF('משימות'!$A58="","",'משימות'!C58)</f>
        <v/>
      </c>
      <c r="C73" s="127">
        <f>IF('משימות'!$A58="","",'משימות'!D58)</f>
        <v/>
      </c>
      <c r="D73" s="128">
        <f>IF('משימות'!$A58="","",'משימות'!G58)</f>
        <v/>
      </c>
      <c r="E73" s="129">
        <f>IF('משימות'!$A58="","",'משימות'!J58)</f>
        <v/>
      </c>
      <c r="F73" s="129">
        <f>IF('משימות'!$A58="","",'משימות'!K58)</f>
        <v/>
      </c>
      <c r="G73" s="130" t="n"/>
      <c r="H73" s="130" t="n"/>
      <c r="I73" s="130" t="n"/>
      <c r="J73" s="130" t="n"/>
      <c r="K73" s="130" t="n"/>
      <c r="L73" s="130" t="n"/>
      <c r="M73" s="130" t="n"/>
      <c r="N73" s="130" t="n"/>
      <c r="O73" s="130" t="n"/>
      <c r="P73" s="130" t="n"/>
      <c r="Q73" s="130" t="n"/>
      <c r="R73" s="130" t="n"/>
      <c r="S73" s="130" t="n"/>
      <c r="T73" s="130" t="n"/>
      <c r="U73" s="130" t="n"/>
      <c r="V73" s="130" t="n"/>
      <c r="W73" s="130" t="n"/>
      <c r="X73" s="130" t="n"/>
      <c r="Y73" s="130" t="n"/>
      <c r="Z73" s="130" t="n"/>
      <c r="AA73" s="130" t="n"/>
      <c r="AB73" s="130" t="n"/>
      <c r="AC73" s="130" t="n"/>
      <c r="AD73" s="130" t="n"/>
      <c r="AE73" s="130" t="n"/>
      <c r="AF73" s="130" t="n"/>
      <c r="AG73" s="130" t="n"/>
      <c r="AH73" s="130" t="n"/>
      <c r="AI73" s="130" t="n"/>
      <c r="AJ73" s="130" t="n"/>
    </row>
    <row r="74">
      <c r="A74" s="126">
        <f>IF('משימות'!$A59="","",'משימות'!A59)</f>
        <v/>
      </c>
      <c r="B74" s="127">
        <f>IF('משימות'!$A59="","",'משימות'!C59)</f>
        <v/>
      </c>
      <c r="C74" s="127">
        <f>IF('משימות'!$A59="","",'משימות'!D59)</f>
        <v/>
      </c>
      <c r="D74" s="128">
        <f>IF('משימות'!$A59="","",'משימות'!G59)</f>
        <v/>
      </c>
      <c r="E74" s="129">
        <f>IF('משימות'!$A59="","",'משימות'!J59)</f>
        <v/>
      </c>
      <c r="F74" s="129">
        <f>IF('משימות'!$A59="","",'משימות'!K59)</f>
        <v/>
      </c>
      <c r="G74" s="130" t="n"/>
      <c r="H74" s="130" t="n"/>
      <c r="I74" s="130" t="n"/>
      <c r="J74" s="130" t="n"/>
      <c r="K74" s="130" t="n"/>
      <c r="L74" s="130" t="n"/>
      <c r="M74" s="130" t="n"/>
      <c r="N74" s="130" t="n"/>
      <c r="O74" s="130" t="n"/>
      <c r="P74" s="130" t="n"/>
      <c r="Q74" s="130" t="n"/>
      <c r="R74" s="130" t="n"/>
      <c r="S74" s="130" t="n"/>
      <c r="T74" s="130" t="n"/>
      <c r="U74" s="130" t="n"/>
      <c r="V74" s="130" t="n"/>
      <c r="W74" s="130" t="n"/>
      <c r="X74" s="130" t="n"/>
      <c r="Y74" s="130" t="n"/>
      <c r="Z74" s="130" t="n"/>
      <c r="AA74" s="130" t="n"/>
      <c r="AB74" s="130" t="n"/>
      <c r="AC74" s="130" t="n"/>
      <c r="AD74" s="130" t="n"/>
      <c r="AE74" s="130" t="n"/>
      <c r="AF74" s="130" t="n"/>
      <c r="AG74" s="130" t="n"/>
      <c r="AH74" s="130" t="n"/>
      <c r="AI74" s="130" t="n"/>
      <c r="AJ74" s="130" t="n"/>
    </row>
    <row r="75">
      <c r="A75" s="126">
        <f>IF('משימות'!$A60="","",'משימות'!A60)</f>
        <v/>
      </c>
      <c r="B75" s="127">
        <f>IF('משימות'!$A60="","",'משימות'!C60)</f>
        <v/>
      </c>
      <c r="C75" s="127">
        <f>IF('משימות'!$A60="","",'משימות'!D60)</f>
        <v/>
      </c>
      <c r="D75" s="128">
        <f>IF('משימות'!$A60="","",'משימות'!G60)</f>
        <v/>
      </c>
      <c r="E75" s="129">
        <f>IF('משימות'!$A60="","",'משימות'!J60)</f>
        <v/>
      </c>
      <c r="F75" s="129">
        <f>IF('משימות'!$A60="","",'משימות'!K60)</f>
        <v/>
      </c>
      <c r="G75" s="130" t="n"/>
      <c r="H75" s="130" t="n"/>
      <c r="I75" s="130" t="n"/>
      <c r="J75" s="130" t="n"/>
      <c r="K75" s="130" t="n"/>
      <c r="L75" s="130" t="n"/>
      <c r="M75" s="130" t="n"/>
      <c r="N75" s="130" t="n"/>
      <c r="O75" s="130" t="n"/>
      <c r="P75" s="130" t="n"/>
      <c r="Q75" s="130" t="n"/>
      <c r="R75" s="130" t="n"/>
      <c r="S75" s="130" t="n"/>
      <c r="T75" s="130" t="n"/>
      <c r="U75" s="130" t="n"/>
      <c r="V75" s="130" t="n"/>
      <c r="W75" s="130" t="n"/>
      <c r="X75" s="130" t="n"/>
      <c r="Y75" s="130" t="n"/>
      <c r="Z75" s="130" t="n"/>
      <c r="AA75" s="130" t="n"/>
      <c r="AB75" s="130" t="n"/>
      <c r="AC75" s="130" t="n"/>
      <c r="AD75" s="130" t="n"/>
      <c r="AE75" s="130" t="n"/>
      <c r="AF75" s="130" t="n"/>
      <c r="AG75" s="130" t="n"/>
      <c r="AH75" s="130" t="n"/>
      <c r="AI75" s="130" t="n"/>
      <c r="AJ75" s="130" t="n"/>
    </row>
    <row r="76">
      <c r="A76" s="126">
        <f>IF('משימות'!$A61="","",'משימות'!A61)</f>
        <v/>
      </c>
      <c r="B76" s="127">
        <f>IF('משימות'!$A61="","",'משימות'!C61)</f>
        <v/>
      </c>
      <c r="C76" s="127">
        <f>IF('משימות'!$A61="","",'משימות'!D61)</f>
        <v/>
      </c>
      <c r="D76" s="128">
        <f>IF('משימות'!$A61="","",'משימות'!G61)</f>
        <v/>
      </c>
      <c r="E76" s="129">
        <f>IF('משימות'!$A61="","",'משימות'!J61)</f>
        <v/>
      </c>
      <c r="F76" s="129">
        <f>IF('משימות'!$A61="","",'משימות'!K61)</f>
        <v/>
      </c>
      <c r="G76" s="130" t="n"/>
      <c r="H76" s="130" t="n"/>
      <c r="I76" s="130" t="n"/>
      <c r="J76" s="130" t="n"/>
      <c r="K76" s="130" t="n"/>
      <c r="L76" s="130" t="n"/>
      <c r="M76" s="130" t="n"/>
      <c r="N76" s="130" t="n"/>
      <c r="O76" s="130" t="n"/>
      <c r="P76" s="130" t="n"/>
      <c r="Q76" s="130" t="n"/>
      <c r="R76" s="130" t="n"/>
      <c r="S76" s="130" t="n"/>
      <c r="T76" s="130" t="n"/>
      <c r="U76" s="130" t="n"/>
      <c r="V76" s="130" t="n"/>
      <c r="W76" s="130" t="n"/>
      <c r="X76" s="130" t="n"/>
      <c r="Y76" s="130" t="n"/>
      <c r="Z76" s="130" t="n"/>
      <c r="AA76" s="130" t="n"/>
      <c r="AB76" s="130" t="n"/>
      <c r="AC76" s="130" t="n"/>
      <c r="AD76" s="130" t="n"/>
      <c r="AE76" s="130" t="n"/>
      <c r="AF76" s="130" t="n"/>
      <c r="AG76" s="130" t="n"/>
      <c r="AH76" s="130" t="n"/>
      <c r="AI76" s="130" t="n"/>
      <c r="AJ76" s="130" t="n"/>
    </row>
    <row r="77">
      <c r="A77" s="126">
        <f>IF('משימות'!$A62="","",'משימות'!A62)</f>
        <v/>
      </c>
      <c r="B77" s="127">
        <f>IF('משימות'!$A62="","",'משימות'!C62)</f>
        <v/>
      </c>
      <c r="C77" s="127">
        <f>IF('משימות'!$A62="","",'משימות'!D62)</f>
        <v/>
      </c>
      <c r="D77" s="128">
        <f>IF('משימות'!$A62="","",'משימות'!G62)</f>
        <v/>
      </c>
      <c r="E77" s="129">
        <f>IF('משימות'!$A62="","",'משימות'!J62)</f>
        <v/>
      </c>
      <c r="F77" s="129">
        <f>IF('משימות'!$A62="","",'משימות'!K62)</f>
        <v/>
      </c>
      <c r="G77" s="130" t="n"/>
      <c r="H77" s="130" t="n"/>
      <c r="I77" s="130" t="n"/>
      <c r="J77" s="130" t="n"/>
      <c r="K77" s="130" t="n"/>
      <c r="L77" s="130" t="n"/>
      <c r="M77" s="130" t="n"/>
      <c r="N77" s="130" t="n"/>
      <c r="O77" s="130" t="n"/>
      <c r="P77" s="130" t="n"/>
      <c r="Q77" s="130" t="n"/>
      <c r="R77" s="130" t="n"/>
      <c r="S77" s="130" t="n"/>
      <c r="T77" s="130" t="n"/>
      <c r="U77" s="130" t="n"/>
      <c r="V77" s="130" t="n"/>
      <c r="W77" s="130" t="n"/>
      <c r="X77" s="130" t="n"/>
      <c r="Y77" s="130" t="n"/>
      <c r="Z77" s="130" t="n"/>
      <c r="AA77" s="130" t="n"/>
      <c r="AB77" s="130" t="n"/>
      <c r="AC77" s="130" t="n"/>
      <c r="AD77" s="130" t="n"/>
      <c r="AE77" s="130" t="n"/>
      <c r="AF77" s="130" t="n"/>
      <c r="AG77" s="130" t="n"/>
      <c r="AH77" s="130" t="n"/>
      <c r="AI77" s="130" t="n"/>
      <c r="AJ77" s="130" t="n"/>
    </row>
    <row r="78">
      <c r="A78" s="126">
        <f>IF('משימות'!$A63="","",'משימות'!A63)</f>
        <v/>
      </c>
      <c r="B78" s="127">
        <f>IF('משימות'!$A63="","",'משימות'!C63)</f>
        <v/>
      </c>
      <c r="C78" s="127">
        <f>IF('משימות'!$A63="","",'משימות'!D63)</f>
        <v/>
      </c>
      <c r="D78" s="128">
        <f>IF('משימות'!$A63="","",'משימות'!G63)</f>
        <v/>
      </c>
      <c r="E78" s="129">
        <f>IF('משימות'!$A63="","",'משימות'!J63)</f>
        <v/>
      </c>
      <c r="F78" s="129">
        <f>IF('משימות'!$A63="","",'משימות'!K63)</f>
        <v/>
      </c>
      <c r="G78" s="130" t="n"/>
      <c r="H78" s="130" t="n"/>
      <c r="I78" s="130" t="n"/>
      <c r="J78" s="130" t="n"/>
      <c r="K78" s="130" t="n"/>
      <c r="L78" s="130" t="n"/>
      <c r="M78" s="130" t="n"/>
      <c r="N78" s="130" t="n"/>
      <c r="O78" s="130" t="n"/>
      <c r="P78" s="130" t="n"/>
      <c r="Q78" s="130" t="n"/>
      <c r="R78" s="130" t="n"/>
      <c r="S78" s="130" t="n"/>
      <c r="T78" s="130" t="n"/>
      <c r="U78" s="130" t="n"/>
      <c r="V78" s="130" t="n"/>
      <c r="W78" s="130" t="n"/>
      <c r="X78" s="130" t="n"/>
      <c r="Y78" s="130" t="n"/>
      <c r="Z78" s="130" t="n"/>
      <c r="AA78" s="130" t="n"/>
      <c r="AB78" s="130" t="n"/>
      <c r="AC78" s="130" t="n"/>
      <c r="AD78" s="130" t="n"/>
      <c r="AE78" s="130" t="n"/>
      <c r="AF78" s="130" t="n"/>
      <c r="AG78" s="130" t="n"/>
      <c r="AH78" s="130" t="n"/>
      <c r="AI78" s="130" t="n"/>
      <c r="AJ78" s="130" t="n"/>
    </row>
    <row r="79">
      <c r="A79" s="126">
        <f>IF('משימות'!$A64="","",'משימות'!A64)</f>
        <v/>
      </c>
      <c r="B79" s="127">
        <f>IF('משימות'!$A64="","",'משימות'!C64)</f>
        <v/>
      </c>
      <c r="C79" s="127">
        <f>IF('משימות'!$A64="","",'משימות'!D64)</f>
        <v/>
      </c>
      <c r="D79" s="128">
        <f>IF('משימות'!$A64="","",'משימות'!G64)</f>
        <v/>
      </c>
      <c r="E79" s="129">
        <f>IF('משימות'!$A64="","",'משימות'!J64)</f>
        <v/>
      </c>
      <c r="F79" s="129">
        <f>IF('משימות'!$A64="","",'משימות'!K64)</f>
        <v/>
      </c>
      <c r="G79" s="130" t="n"/>
      <c r="H79" s="130" t="n"/>
      <c r="I79" s="130" t="n"/>
      <c r="J79" s="130" t="n"/>
      <c r="K79" s="130" t="n"/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  <c r="V79" s="130" t="n"/>
      <c r="W79" s="130" t="n"/>
      <c r="X79" s="130" t="n"/>
      <c r="Y79" s="130" t="n"/>
      <c r="Z79" s="130" t="n"/>
      <c r="AA79" s="130" t="n"/>
      <c r="AB79" s="130" t="n"/>
      <c r="AC79" s="130" t="n"/>
      <c r="AD79" s="130" t="n"/>
      <c r="AE79" s="130" t="n"/>
      <c r="AF79" s="130" t="n"/>
      <c r="AG79" s="130" t="n"/>
      <c r="AH79" s="130" t="n"/>
      <c r="AI79" s="130" t="n"/>
      <c r="AJ79" s="130" t="n"/>
    </row>
    <row r="80">
      <c r="A80" s="126">
        <f>IF('משימות'!$A65="","",'משימות'!A65)</f>
        <v/>
      </c>
      <c r="B80" s="127">
        <f>IF('משימות'!$A65="","",'משימות'!C65)</f>
        <v/>
      </c>
      <c r="C80" s="127">
        <f>IF('משימות'!$A65="","",'משימות'!D65)</f>
        <v/>
      </c>
      <c r="D80" s="128">
        <f>IF('משימות'!$A65="","",'משימות'!G65)</f>
        <v/>
      </c>
      <c r="E80" s="129">
        <f>IF('משימות'!$A65="","",'משימות'!J65)</f>
        <v/>
      </c>
      <c r="F80" s="129">
        <f>IF('משימות'!$A65="","",'משימות'!K65)</f>
        <v/>
      </c>
      <c r="G80" s="130" t="n"/>
      <c r="H80" s="130" t="n"/>
      <c r="I80" s="130" t="n"/>
      <c r="J80" s="130" t="n"/>
      <c r="K80" s="130" t="n"/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  <c r="V80" s="130" t="n"/>
      <c r="W80" s="130" t="n"/>
      <c r="X80" s="130" t="n"/>
      <c r="Y80" s="130" t="n"/>
      <c r="Z80" s="130" t="n"/>
      <c r="AA80" s="130" t="n"/>
      <c r="AB80" s="130" t="n"/>
      <c r="AC80" s="130" t="n"/>
      <c r="AD80" s="130" t="n"/>
      <c r="AE80" s="130" t="n"/>
      <c r="AF80" s="130" t="n"/>
      <c r="AG80" s="130" t="n"/>
      <c r="AH80" s="130" t="n"/>
      <c r="AI80" s="130" t="n"/>
      <c r="AJ80" s="130" t="n"/>
    </row>
    <row r="81">
      <c r="A81" s="126">
        <f>IF('משימות'!$A66="","",'משימות'!A66)</f>
        <v/>
      </c>
      <c r="B81" s="127">
        <f>IF('משימות'!$A66="","",'משימות'!C66)</f>
        <v/>
      </c>
      <c r="C81" s="127">
        <f>IF('משימות'!$A66="","",'משימות'!D66)</f>
        <v/>
      </c>
      <c r="D81" s="128">
        <f>IF('משימות'!$A66="","",'משימות'!G66)</f>
        <v/>
      </c>
      <c r="E81" s="129">
        <f>IF('משימות'!$A66="","",'משימות'!J66)</f>
        <v/>
      </c>
      <c r="F81" s="129">
        <f>IF('משימות'!$A66="","",'משימות'!K66)</f>
        <v/>
      </c>
      <c r="G81" s="130" t="n"/>
      <c r="H81" s="130" t="n"/>
      <c r="I81" s="130" t="n"/>
      <c r="J81" s="130" t="n"/>
      <c r="K81" s="130" t="n"/>
      <c r="L81" s="130" t="n"/>
      <c r="M81" s="130" t="n"/>
      <c r="N81" s="130" t="n"/>
      <c r="O81" s="130" t="n"/>
      <c r="P81" s="130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30" t="n"/>
      <c r="AA81" s="130" t="n"/>
      <c r="AB81" s="130" t="n"/>
      <c r="AC81" s="130" t="n"/>
      <c r="AD81" s="130" t="n"/>
      <c r="AE81" s="130" t="n"/>
      <c r="AF81" s="130" t="n"/>
      <c r="AG81" s="130" t="n"/>
      <c r="AH81" s="130" t="n"/>
      <c r="AI81" s="130" t="n"/>
      <c r="AJ81" s="130" t="n"/>
    </row>
    <row r="82">
      <c r="A82" s="126">
        <f>IF('משימות'!$A67="","",'משימות'!A67)</f>
        <v/>
      </c>
      <c r="B82" s="127">
        <f>IF('משימות'!$A67="","",'משימות'!C67)</f>
        <v/>
      </c>
      <c r="C82" s="127">
        <f>IF('משימות'!$A67="","",'משימות'!D67)</f>
        <v/>
      </c>
      <c r="D82" s="128">
        <f>IF('משימות'!$A67="","",'משימות'!G67)</f>
        <v/>
      </c>
      <c r="E82" s="129">
        <f>IF('משימות'!$A67="","",'משימות'!J67)</f>
        <v/>
      </c>
      <c r="F82" s="129">
        <f>IF('משימות'!$A67="","",'משימות'!K67)</f>
        <v/>
      </c>
      <c r="G82" s="130" t="n"/>
      <c r="H82" s="130" t="n"/>
      <c r="I82" s="130" t="n"/>
      <c r="J82" s="130" t="n"/>
      <c r="K82" s="130" t="n"/>
      <c r="L82" s="130" t="n"/>
      <c r="M82" s="130" t="n"/>
      <c r="N82" s="130" t="n"/>
      <c r="O82" s="130" t="n"/>
      <c r="P82" s="130" t="n"/>
      <c r="Q82" s="130" t="n"/>
      <c r="R82" s="130" t="n"/>
      <c r="S82" s="130" t="n"/>
      <c r="T82" s="130" t="n"/>
      <c r="U82" s="130" t="n"/>
      <c r="V82" s="130" t="n"/>
      <c r="W82" s="130" t="n"/>
      <c r="X82" s="130" t="n"/>
      <c r="Y82" s="130" t="n"/>
      <c r="Z82" s="130" t="n"/>
      <c r="AA82" s="130" t="n"/>
      <c r="AB82" s="130" t="n"/>
      <c r="AC82" s="130" t="n"/>
      <c r="AD82" s="130" t="n"/>
      <c r="AE82" s="130" t="n"/>
      <c r="AF82" s="130" t="n"/>
      <c r="AG82" s="130" t="n"/>
      <c r="AH82" s="130" t="n"/>
      <c r="AI82" s="130" t="n"/>
      <c r="AJ82" s="130" t="n"/>
    </row>
    <row r="83">
      <c r="A83" s="126">
        <f>IF('משימות'!$A68="","",'משימות'!A68)</f>
        <v/>
      </c>
      <c r="B83" s="127">
        <f>IF('משימות'!$A68="","",'משימות'!C68)</f>
        <v/>
      </c>
      <c r="C83" s="127">
        <f>IF('משימות'!$A68="","",'משימות'!D68)</f>
        <v/>
      </c>
      <c r="D83" s="128">
        <f>IF('משימות'!$A68="","",'משימות'!G68)</f>
        <v/>
      </c>
      <c r="E83" s="129">
        <f>IF('משימות'!$A68="","",'משימות'!J68)</f>
        <v/>
      </c>
      <c r="F83" s="129">
        <f>IF('משימות'!$A68="","",'משימות'!K68)</f>
        <v/>
      </c>
      <c r="G83" s="130" t="n"/>
      <c r="H83" s="130" t="n"/>
      <c r="I83" s="130" t="n"/>
      <c r="J83" s="130" t="n"/>
      <c r="K83" s="130" t="n"/>
      <c r="L83" s="130" t="n"/>
      <c r="M83" s="130" t="n"/>
      <c r="N83" s="130" t="n"/>
      <c r="O83" s="130" t="n"/>
      <c r="P83" s="130" t="n"/>
      <c r="Q83" s="130" t="n"/>
      <c r="R83" s="130" t="n"/>
      <c r="S83" s="130" t="n"/>
      <c r="T83" s="130" t="n"/>
      <c r="U83" s="130" t="n"/>
      <c r="V83" s="130" t="n"/>
      <c r="W83" s="130" t="n"/>
      <c r="X83" s="130" t="n"/>
      <c r="Y83" s="130" t="n"/>
      <c r="Z83" s="130" t="n"/>
      <c r="AA83" s="130" t="n"/>
      <c r="AB83" s="130" t="n"/>
      <c r="AC83" s="130" t="n"/>
      <c r="AD83" s="130" t="n"/>
      <c r="AE83" s="130" t="n"/>
      <c r="AF83" s="130" t="n"/>
      <c r="AG83" s="130" t="n"/>
      <c r="AH83" s="130" t="n"/>
      <c r="AI83" s="130" t="n"/>
      <c r="AJ83" s="130" t="n"/>
    </row>
    <row r="84">
      <c r="A84" s="126">
        <f>IF('משימות'!$A69="","",'משימות'!A69)</f>
        <v/>
      </c>
      <c r="B84" s="127">
        <f>IF('משימות'!$A69="","",'משימות'!C69)</f>
        <v/>
      </c>
      <c r="C84" s="127">
        <f>IF('משימות'!$A69="","",'משימות'!D69)</f>
        <v/>
      </c>
      <c r="D84" s="128">
        <f>IF('משימות'!$A69="","",'משימות'!G69)</f>
        <v/>
      </c>
      <c r="E84" s="129">
        <f>IF('משימות'!$A69="","",'משימות'!J69)</f>
        <v/>
      </c>
      <c r="F84" s="129">
        <f>IF('משימות'!$A69="","",'משימות'!K69)</f>
        <v/>
      </c>
      <c r="G84" s="130" t="n"/>
      <c r="H84" s="130" t="n"/>
      <c r="I84" s="130" t="n"/>
      <c r="J84" s="130" t="n"/>
      <c r="K84" s="130" t="n"/>
      <c r="L84" s="130" t="n"/>
      <c r="M84" s="130" t="n"/>
      <c r="N84" s="130" t="n"/>
      <c r="O84" s="130" t="n"/>
      <c r="P84" s="130" t="n"/>
      <c r="Q84" s="130" t="n"/>
      <c r="R84" s="130" t="n"/>
      <c r="S84" s="130" t="n"/>
      <c r="T84" s="130" t="n"/>
      <c r="U84" s="130" t="n"/>
      <c r="V84" s="130" t="n"/>
      <c r="W84" s="130" t="n"/>
      <c r="X84" s="130" t="n"/>
      <c r="Y84" s="130" t="n"/>
      <c r="Z84" s="130" t="n"/>
      <c r="AA84" s="130" t="n"/>
      <c r="AB84" s="130" t="n"/>
      <c r="AC84" s="130" t="n"/>
      <c r="AD84" s="130" t="n"/>
      <c r="AE84" s="130" t="n"/>
      <c r="AF84" s="130" t="n"/>
      <c r="AG84" s="130" t="n"/>
      <c r="AH84" s="130" t="n"/>
      <c r="AI84" s="130" t="n"/>
      <c r="AJ84" s="130" t="n"/>
    </row>
    <row r="85">
      <c r="A85" s="126">
        <f>IF('משימות'!$A70="","",'משימות'!A70)</f>
        <v/>
      </c>
      <c r="B85" s="127">
        <f>IF('משימות'!$A70="","",'משימות'!C70)</f>
        <v/>
      </c>
      <c r="C85" s="127">
        <f>IF('משימות'!$A70="","",'משימות'!D70)</f>
        <v/>
      </c>
      <c r="D85" s="128">
        <f>IF('משימות'!$A70="","",'משימות'!G70)</f>
        <v/>
      </c>
      <c r="E85" s="129">
        <f>IF('משימות'!$A70="","",'משימות'!J70)</f>
        <v/>
      </c>
      <c r="F85" s="129">
        <f>IF('משימות'!$A70="","",'משימות'!K70)</f>
        <v/>
      </c>
      <c r="G85" s="130" t="n"/>
      <c r="H85" s="130" t="n"/>
      <c r="I85" s="130" t="n"/>
      <c r="J85" s="130" t="n"/>
      <c r="K85" s="130" t="n"/>
      <c r="L85" s="130" t="n"/>
      <c r="M85" s="130" t="n"/>
      <c r="N85" s="130" t="n"/>
      <c r="O85" s="130" t="n"/>
      <c r="P85" s="130" t="n"/>
      <c r="Q85" s="130" t="n"/>
      <c r="R85" s="130" t="n"/>
      <c r="S85" s="130" t="n"/>
      <c r="T85" s="130" t="n"/>
      <c r="U85" s="130" t="n"/>
      <c r="V85" s="130" t="n"/>
      <c r="W85" s="130" t="n"/>
      <c r="X85" s="130" t="n"/>
      <c r="Y85" s="130" t="n"/>
      <c r="Z85" s="130" t="n"/>
      <c r="AA85" s="130" t="n"/>
      <c r="AB85" s="130" t="n"/>
      <c r="AC85" s="130" t="n"/>
      <c r="AD85" s="130" t="n"/>
      <c r="AE85" s="130" t="n"/>
      <c r="AF85" s="130" t="n"/>
      <c r="AG85" s="130" t="n"/>
      <c r="AH85" s="130" t="n"/>
      <c r="AI85" s="130" t="n"/>
      <c r="AJ85" s="130" t="n"/>
    </row>
    <row r="86">
      <c r="A86" s="126">
        <f>IF('משימות'!$A71="","",'משימות'!A71)</f>
        <v/>
      </c>
      <c r="B86" s="127">
        <f>IF('משימות'!$A71="","",'משימות'!C71)</f>
        <v/>
      </c>
      <c r="C86" s="127">
        <f>IF('משימות'!$A71="","",'משימות'!D71)</f>
        <v/>
      </c>
      <c r="D86" s="128">
        <f>IF('משימות'!$A71="","",'משימות'!G71)</f>
        <v/>
      </c>
      <c r="E86" s="129">
        <f>IF('משימות'!$A71="","",'משימות'!J71)</f>
        <v/>
      </c>
      <c r="F86" s="129">
        <f>IF('משימות'!$A71="","",'משימות'!K71)</f>
        <v/>
      </c>
      <c r="G86" s="130" t="n"/>
      <c r="H86" s="130" t="n"/>
      <c r="I86" s="130" t="n"/>
      <c r="J86" s="130" t="n"/>
      <c r="K86" s="130" t="n"/>
      <c r="L86" s="130" t="n"/>
      <c r="M86" s="130" t="n"/>
      <c r="N86" s="130" t="n"/>
      <c r="O86" s="130" t="n"/>
      <c r="P86" s="130" t="n"/>
      <c r="Q86" s="130" t="n"/>
      <c r="R86" s="130" t="n"/>
      <c r="S86" s="130" t="n"/>
      <c r="T86" s="130" t="n"/>
      <c r="U86" s="130" t="n"/>
      <c r="V86" s="130" t="n"/>
      <c r="W86" s="130" t="n"/>
      <c r="X86" s="130" t="n"/>
      <c r="Y86" s="130" t="n"/>
      <c r="Z86" s="130" t="n"/>
      <c r="AA86" s="130" t="n"/>
      <c r="AB86" s="130" t="n"/>
      <c r="AC86" s="130" t="n"/>
      <c r="AD86" s="130" t="n"/>
      <c r="AE86" s="130" t="n"/>
      <c r="AF86" s="130" t="n"/>
      <c r="AG86" s="130" t="n"/>
      <c r="AH86" s="130" t="n"/>
      <c r="AI86" s="130" t="n"/>
      <c r="AJ86" s="130" t="n"/>
    </row>
    <row r="87">
      <c r="A87" s="126">
        <f>IF('משימות'!$A72="","",'משימות'!A72)</f>
        <v/>
      </c>
      <c r="B87" s="127">
        <f>IF('משימות'!$A72="","",'משימות'!C72)</f>
        <v/>
      </c>
      <c r="C87" s="127">
        <f>IF('משימות'!$A72="","",'משימות'!D72)</f>
        <v/>
      </c>
      <c r="D87" s="128">
        <f>IF('משימות'!$A72="","",'משימות'!G72)</f>
        <v/>
      </c>
      <c r="E87" s="129">
        <f>IF('משימות'!$A72="","",'משימות'!J72)</f>
        <v/>
      </c>
      <c r="F87" s="129">
        <f>IF('משימות'!$A72="","",'משימות'!K72)</f>
        <v/>
      </c>
      <c r="G87" s="130" t="n"/>
      <c r="H87" s="130" t="n"/>
      <c r="I87" s="130" t="n"/>
      <c r="J87" s="130" t="n"/>
      <c r="K87" s="130" t="n"/>
      <c r="L87" s="130" t="n"/>
      <c r="M87" s="130" t="n"/>
      <c r="N87" s="130" t="n"/>
      <c r="O87" s="130" t="n"/>
      <c r="P87" s="130" t="n"/>
      <c r="Q87" s="130" t="n"/>
      <c r="R87" s="130" t="n"/>
      <c r="S87" s="130" t="n"/>
      <c r="T87" s="130" t="n"/>
      <c r="U87" s="130" t="n"/>
      <c r="V87" s="130" t="n"/>
      <c r="W87" s="130" t="n"/>
      <c r="X87" s="130" t="n"/>
      <c r="Y87" s="130" t="n"/>
      <c r="Z87" s="130" t="n"/>
      <c r="AA87" s="130" t="n"/>
      <c r="AB87" s="130" t="n"/>
      <c r="AC87" s="130" t="n"/>
      <c r="AD87" s="130" t="n"/>
      <c r="AE87" s="130" t="n"/>
      <c r="AF87" s="130" t="n"/>
      <c r="AG87" s="130" t="n"/>
      <c r="AH87" s="130" t="n"/>
      <c r="AI87" s="130" t="n"/>
      <c r="AJ87" s="130" t="n"/>
    </row>
    <row r="88">
      <c r="A88" s="126">
        <f>IF('משימות'!$A73="","",'משימות'!A73)</f>
        <v/>
      </c>
      <c r="B88" s="127">
        <f>IF('משימות'!$A73="","",'משימות'!C73)</f>
        <v/>
      </c>
      <c r="C88" s="127">
        <f>IF('משימות'!$A73="","",'משימות'!D73)</f>
        <v/>
      </c>
      <c r="D88" s="128">
        <f>IF('משימות'!$A73="","",'משימות'!G73)</f>
        <v/>
      </c>
      <c r="E88" s="129">
        <f>IF('משימות'!$A73="","",'משימות'!J73)</f>
        <v/>
      </c>
      <c r="F88" s="129">
        <f>IF('משימות'!$A73="","",'משימות'!K73)</f>
        <v/>
      </c>
      <c r="G88" s="130" t="n"/>
      <c r="H88" s="130" t="n"/>
      <c r="I88" s="130" t="n"/>
      <c r="J88" s="130" t="n"/>
      <c r="K88" s="130" t="n"/>
      <c r="L88" s="130" t="n"/>
      <c r="M88" s="130" t="n"/>
      <c r="N88" s="130" t="n"/>
      <c r="O88" s="130" t="n"/>
      <c r="P88" s="130" t="n"/>
      <c r="Q88" s="130" t="n"/>
      <c r="R88" s="130" t="n"/>
      <c r="S88" s="130" t="n"/>
      <c r="T88" s="130" t="n"/>
      <c r="U88" s="130" t="n"/>
      <c r="V88" s="130" t="n"/>
      <c r="W88" s="130" t="n"/>
      <c r="X88" s="130" t="n"/>
      <c r="Y88" s="130" t="n"/>
      <c r="Z88" s="130" t="n"/>
      <c r="AA88" s="130" t="n"/>
      <c r="AB88" s="130" t="n"/>
      <c r="AC88" s="130" t="n"/>
      <c r="AD88" s="130" t="n"/>
      <c r="AE88" s="130" t="n"/>
      <c r="AF88" s="130" t="n"/>
      <c r="AG88" s="130" t="n"/>
      <c r="AH88" s="130" t="n"/>
      <c r="AI88" s="130" t="n"/>
      <c r="AJ88" s="130" t="n"/>
    </row>
    <row r="89">
      <c r="A89" s="126">
        <f>IF('משימות'!$A74="","",'משימות'!A74)</f>
        <v/>
      </c>
      <c r="B89" s="127">
        <f>IF('משימות'!$A74="","",'משימות'!C74)</f>
        <v/>
      </c>
      <c r="C89" s="127">
        <f>IF('משימות'!$A74="","",'משימות'!D74)</f>
        <v/>
      </c>
      <c r="D89" s="128">
        <f>IF('משימות'!$A74="","",'משימות'!G74)</f>
        <v/>
      </c>
      <c r="E89" s="129">
        <f>IF('משימות'!$A74="","",'משימות'!J74)</f>
        <v/>
      </c>
      <c r="F89" s="129">
        <f>IF('משימות'!$A74="","",'משימות'!K74)</f>
        <v/>
      </c>
      <c r="G89" s="130" t="n"/>
      <c r="H89" s="130" t="n"/>
      <c r="I89" s="130" t="n"/>
      <c r="J89" s="130" t="n"/>
      <c r="K89" s="130" t="n"/>
      <c r="L89" s="130" t="n"/>
      <c r="M89" s="130" t="n"/>
      <c r="N89" s="130" t="n"/>
      <c r="O89" s="130" t="n"/>
      <c r="P89" s="130" t="n"/>
      <c r="Q89" s="130" t="n"/>
      <c r="R89" s="130" t="n"/>
      <c r="S89" s="130" t="n"/>
      <c r="T89" s="130" t="n"/>
      <c r="U89" s="130" t="n"/>
      <c r="V89" s="130" t="n"/>
      <c r="W89" s="130" t="n"/>
      <c r="X89" s="130" t="n"/>
      <c r="Y89" s="130" t="n"/>
      <c r="Z89" s="130" t="n"/>
      <c r="AA89" s="130" t="n"/>
      <c r="AB89" s="130" t="n"/>
      <c r="AC89" s="130" t="n"/>
      <c r="AD89" s="130" t="n"/>
      <c r="AE89" s="130" t="n"/>
      <c r="AF89" s="130" t="n"/>
      <c r="AG89" s="130" t="n"/>
      <c r="AH89" s="130" t="n"/>
      <c r="AI89" s="130" t="n"/>
      <c r="AJ89" s="130" t="n"/>
    </row>
    <row r="90">
      <c r="A90" s="126">
        <f>IF('משימות'!$A75="","",'משימות'!A75)</f>
        <v/>
      </c>
      <c r="B90" s="127">
        <f>IF('משימות'!$A75="","",'משימות'!C75)</f>
        <v/>
      </c>
      <c r="C90" s="127">
        <f>IF('משימות'!$A75="","",'משימות'!D75)</f>
        <v/>
      </c>
      <c r="D90" s="128">
        <f>IF('משימות'!$A75="","",'משימות'!G75)</f>
        <v/>
      </c>
      <c r="E90" s="129">
        <f>IF('משימות'!$A75="","",'משימות'!J75)</f>
        <v/>
      </c>
      <c r="F90" s="129">
        <f>IF('משימות'!$A75="","",'משימות'!K75)</f>
        <v/>
      </c>
      <c r="G90" s="130" t="n"/>
      <c r="H90" s="130" t="n"/>
      <c r="I90" s="130" t="n"/>
      <c r="J90" s="130" t="n"/>
      <c r="K90" s="130" t="n"/>
      <c r="L90" s="130" t="n"/>
      <c r="M90" s="130" t="n"/>
      <c r="N90" s="130" t="n"/>
      <c r="O90" s="130" t="n"/>
      <c r="P90" s="130" t="n"/>
      <c r="Q90" s="130" t="n"/>
      <c r="R90" s="130" t="n"/>
      <c r="S90" s="130" t="n"/>
      <c r="T90" s="130" t="n"/>
      <c r="U90" s="130" t="n"/>
      <c r="V90" s="130" t="n"/>
      <c r="W90" s="130" t="n"/>
      <c r="X90" s="130" t="n"/>
      <c r="Y90" s="130" t="n"/>
      <c r="Z90" s="130" t="n"/>
      <c r="AA90" s="130" t="n"/>
      <c r="AB90" s="130" t="n"/>
      <c r="AC90" s="130" t="n"/>
      <c r="AD90" s="130" t="n"/>
      <c r="AE90" s="130" t="n"/>
      <c r="AF90" s="130" t="n"/>
      <c r="AG90" s="130" t="n"/>
      <c r="AH90" s="130" t="n"/>
      <c r="AI90" s="130" t="n"/>
      <c r="AJ90" s="130" t="n"/>
    </row>
    <row r="91">
      <c r="A91" s="126">
        <f>IF('משימות'!$A76="","",'משימות'!A76)</f>
        <v/>
      </c>
      <c r="B91" s="127">
        <f>IF('משימות'!$A76="","",'משימות'!C76)</f>
        <v/>
      </c>
      <c r="C91" s="127">
        <f>IF('משימות'!$A76="","",'משימות'!D76)</f>
        <v/>
      </c>
      <c r="D91" s="128">
        <f>IF('משימות'!$A76="","",'משימות'!G76)</f>
        <v/>
      </c>
      <c r="E91" s="129">
        <f>IF('משימות'!$A76="","",'משימות'!J76)</f>
        <v/>
      </c>
      <c r="F91" s="129">
        <f>IF('משימות'!$A76="","",'משימות'!K76)</f>
        <v/>
      </c>
      <c r="G91" s="130" t="n"/>
      <c r="H91" s="130" t="n"/>
      <c r="I91" s="130" t="n"/>
      <c r="J91" s="130" t="n"/>
      <c r="K91" s="130" t="n"/>
      <c r="L91" s="130" t="n"/>
      <c r="M91" s="130" t="n"/>
      <c r="N91" s="130" t="n"/>
      <c r="O91" s="130" t="n"/>
      <c r="P91" s="130" t="n"/>
      <c r="Q91" s="130" t="n"/>
      <c r="R91" s="130" t="n"/>
      <c r="S91" s="130" t="n"/>
      <c r="T91" s="130" t="n"/>
      <c r="U91" s="130" t="n"/>
      <c r="V91" s="130" t="n"/>
      <c r="W91" s="130" t="n"/>
      <c r="X91" s="130" t="n"/>
      <c r="Y91" s="130" t="n"/>
      <c r="Z91" s="130" t="n"/>
      <c r="AA91" s="130" t="n"/>
      <c r="AB91" s="130" t="n"/>
      <c r="AC91" s="130" t="n"/>
      <c r="AD91" s="130" t="n"/>
      <c r="AE91" s="130" t="n"/>
      <c r="AF91" s="130" t="n"/>
      <c r="AG91" s="130" t="n"/>
      <c r="AH91" s="130" t="n"/>
      <c r="AI91" s="130" t="n"/>
      <c r="AJ91" s="130" t="n"/>
    </row>
    <row r="92">
      <c r="A92" s="126">
        <f>IF('משימות'!$A77="","",'משימות'!A77)</f>
        <v/>
      </c>
      <c r="B92" s="127">
        <f>IF('משימות'!$A77="","",'משימות'!C77)</f>
        <v/>
      </c>
      <c r="C92" s="127">
        <f>IF('משימות'!$A77="","",'משימות'!D77)</f>
        <v/>
      </c>
      <c r="D92" s="128">
        <f>IF('משימות'!$A77="","",'משימות'!G77)</f>
        <v/>
      </c>
      <c r="E92" s="129">
        <f>IF('משימות'!$A77="","",'משימות'!J77)</f>
        <v/>
      </c>
      <c r="F92" s="129">
        <f>IF('משימות'!$A77="","",'משימות'!K77)</f>
        <v/>
      </c>
      <c r="G92" s="130" t="n"/>
      <c r="H92" s="130" t="n"/>
      <c r="I92" s="130" t="n"/>
      <c r="J92" s="130" t="n"/>
      <c r="K92" s="130" t="n"/>
      <c r="L92" s="130" t="n"/>
      <c r="M92" s="130" t="n"/>
      <c r="N92" s="130" t="n"/>
      <c r="O92" s="130" t="n"/>
      <c r="P92" s="130" t="n"/>
      <c r="Q92" s="130" t="n"/>
      <c r="R92" s="130" t="n"/>
      <c r="S92" s="130" t="n"/>
      <c r="T92" s="130" t="n"/>
      <c r="U92" s="130" t="n"/>
      <c r="V92" s="130" t="n"/>
      <c r="W92" s="130" t="n"/>
      <c r="X92" s="130" t="n"/>
      <c r="Y92" s="130" t="n"/>
      <c r="Z92" s="130" t="n"/>
      <c r="AA92" s="130" t="n"/>
      <c r="AB92" s="130" t="n"/>
      <c r="AC92" s="130" t="n"/>
      <c r="AD92" s="130" t="n"/>
      <c r="AE92" s="130" t="n"/>
      <c r="AF92" s="130" t="n"/>
      <c r="AG92" s="130" t="n"/>
      <c r="AH92" s="130" t="n"/>
      <c r="AI92" s="130" t="n"/>
      <c r="AJ92" s="130" t="n"/>
    </row>
    <row r="93">
      <c r="A93" s="126">
        <f>IF('משימות'!$A78="","",'משימות'!A78)</f>
        <v/>
      </c>
      <c r="B93" s="127">
        <f>IF('משימות'!$A78="","",'משימות'!C78)</f>
        <v/>
      </c>
      <c r="C93" s="127">
        <f>IF('משימות'!$A78="","",'משימות'!D78)</f>
        <v/>
      </c>
      <c r="D93" s="128">
        <f>IF('משימות'!$A78="","",'משימות'!G78)</f>
        <v/>
      </c>
      <c r="E93" s="129">
        <f>IF('משימות'!$A78="","",'משימות'!J78)</f>
        <v/>
      </c>
      <c r="F93" s="129">
        <f>IF('משימות'!$A78="","",'משימות'!K78)</f>
        <v/>
      </c>
      <c r="G93" s="130" t="n"/>
      <c r="H93" s="130" t="n"/>
      <c r="I93" s="130" t="n"/>
      <c r="J93" s="130" t="n"/>
      <c r="K93" s="130" t="n"/>
      <c r="L93" s="130" t="n"/>
      <c r="M93" s="130" t="n"/>
      <c r="N93" s="130" t="n"/>
      <c r="O93" s="130" t="n"/>
      <c r="P93" s="130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30" t="n"/>
      <c r="AA93" s="130" t="n"/>
      <c r="AB93" s="130" t="n"/>
      <c r="AC93" s="130" t="n"/>
      <c r="AD93" s="130" t="n"/>
      <c r="AE93" s="130" t="n"/>
      <c r="AF93" s="130" t="n"/>
      <c r="AG93" s="130" t="n"/>
      <c r="AH93" s="130" t="n"/>
      <c r="AI93" s="130" t="n"/>
      <c r="AJ93" s="130" t="n"/>
    </row>
    <row r="94">
      <c r="A94" s="126">
        <f>IF('משימות'!$A79="","",'משימות'!A79)</f>
        <v/>
      </c>
      <c r="B94" s="127">
        <f>IF('משימות'!$A79="","",'משימות'!C79)</f>
        <v/>
      </c>
      <c r="C94" s="127">
        <f>IF('משימות'!$A79="","",'משימות'!D79)</f>
        <v/>
      </c>
      <c r="D94" s="128">
        <f>IF('משימות'!$A79="","",'משימות'!G79)</f>
        <v/>
      </c>
      <c r="E94" s="129">
        <f>IF('משימות'!$A79="","",'משימות'!J79)</f>
        <v/>
      </c>
      <c r="F94" s="129">
        <f>IF('משימות'!$A79="","",'משימות'!K79)</f>
        <v/>
      </c>
      <c r="G94" s="130" t="n"/>
      <c r="H94" s="130" t="n"/>
      <c r="I94" s="130" t="n"/>
      <c r="J94" s="130" t="n"/>
      <c r="K94" s="130" t="n"/>
      <c r="L94" s="130" t="n"/>
      <c r="M94" s="130" t="n"/>
      <c r="N94" s="130" t="n"/>
      <c r="O94" s="130" t="n"/>
      <c r="P94" s="130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30" t="n"/>
      <c r="AA94" s="130" t="n"/>
      <c r="AB94" s="130" t="n"/>
      <c r="AC94" s="130" t="n"/>
      <c r="AD94" s="130" t="n"/>
      <c r="AE94" s="130" t="n"/>
      <c r="AF94" s="130" t="n"/>
      <c r="AG94" s="130" t="n"/>
      <c r="AH94" s="130" t="n"/>
      <c r="AI94" s="130" t="n"/>
      <c r="AJ94" s="130" t="n"/>
    </row>
    <row r="95">
      <c r="A95" s="126">
        <f>IF('משימות'!$A80="","",'משימות'!A80)</f>
        <v/>
      </c>
      <c r="B95" s="127">
        <f>IF('משימות'!$A80="","",'משימות'!C80)</f>
        <v/>
      </c>
      <c r="C95" s="127">
        <f>IF('משימות'!$A80="","",'משימות'!D80)</f>
        <v/>
      </c>
      <c r="D95" s="128">
        <f>IF('משימות'!$A80="","",'משימות'!G80)</f>
        <v/>
      </c>
      <c r="E95" s="129">
        <f>IF('משימות'!$A80="","",'משימות'!J80)</f>
        <v/>
      </c>
      <c r="F95" s="129">
        <f>IF('משימות'!$A80="","",'משימות'!K80)</f>
        <v/>
      </c>
      <c r="G95" s="130" t="n"/>
      <c r="H95" s="130" t="n"/>
      <c r="I95" s="130" t="n"/>
      <c r="J95" s="130" t="n"/>
      <c r="K95" s="130" t="n"/>
      <c r="L95" s="130" t="n"/>
      <c r="M95" s="130" t="n"/>
      <c r="N95" s="130" t="n"/>
      <c r="O95" s="130" t="n"/>
      <c r="P95" s="130" t="n"/>
      <c r="Q95" s="130" t="n"/>
      <c r="R95" s="130" t="n"/>
      <c r="S95" s="130" t="n"/>
      <c r="T95" s="130" t="n"/>
      <c r="U95" s="130" t="n"/>
      <c r="V95" s="130" t="n"/>
      <c r="W95" s="130" t="n"/>
      <c r="X95" s="130" t="n"/>
      <c r="Y95" s="130" t="n"/>
      <c r="Z95" s="130" t="n"/>
      <c r="AA95" s="130" t="n"/>
      <c r="AB95" s="130" t="n"/>
      <c r="AC95" s="130" t="n"/>
      <c r="AD95" s="130" t="n"/>
      <c r="AE95" s="130" t="n"/>
      <c r="AF95" s="130" t="n"/>
      <c r="AG95" s="130" t="n"/>
      <c r="AH95" s="130" t="n"/>
      <c r="AI95" s="130" t="n"/>
      <c r="AJ95" s="130" t="n"/>
    </row>
    <row r="96">
      <c r="A96" s="126">
        <f>IF('משימות'!$A81="","",'משימות'!A81)</f>
        <v/>
      </c>
      <c r="B96" s="127">
        <f>IF('משימות'!$A81="","",'משימות'!C81)</f>
        <v/>
      </c>
      <c r="C96" s="127">
        <f>IF('משימות'!$A81="","",'משימות'!D81)</f>
        <v/>
      </c>
      <c r="D96" s="128">
        <f>IF('משימות'!$A81="","",'משימות'!G81)</f>
        <v/>
      </c>
      <c r="E96" s="129">
        <f>IF('משימות'!$A81="","",'משימות'!J81)</f>
        <v/>
      </c>
      <c r="F96" s="129">
        <f>IF('משימות'!$A81="","",'משימות'!K81)</f>
        <v/>
      </c>
      <c r="G96" s="130" t="n"/>
      <c r="H96" s="130" t="n"/>
      <c r="I96" s="130" t="n"/>
      <c r="J96" s="130" t="n"/>
      <c r="K96" s="130" t="n"/>
      <c r="L96" s="130" t="n"/>
      <c r="M96" s="130" t="n"/>
      <c r="N96" s="130" t="n"/>
      <c r="O96" s="130" t="n"/>
      <c r="P96" s="130" t="n"/>
      <c r="Q96" s="130" t="n"/>
      <c r="R96" s="130" t="n"/>
      <c r="S96" s="130" t="n"/>
      <c r="T96" s="130" t="n"/>
      <c r="U96" s="130" t="n"/>
      <c r="V96" s="130" t="n"/>
      <c r="W96" s="130" t="n"/>
      <c r="X96" s="130" t="n"/>
      <c r="Y96" s="130" t="n"/>
      <c r="Z96" s="130" t="n"/>
      <c r="AA96" s="130" t="n"/>
      <c r="AB96" s="130" t="n"/>
      <c r="AC96" s="130" t="n"/>
      <c r="AD96" s="130" t="n"/>
      <c r="AE96" s="130" t="n"/>
      <c r="AF96" s="130" t="n"/>
      <c r="AG96" s="130" t="n"/>
      <c r="AH96" s="130" t="n"/>
      <c r="AI96" s="130" t="n"/>
      <c r="AJ96" s="130" t="n"/>
    </row>
    <row r="97">
      <c r="A97" s="126">
        <f>IF('משימות'!$A82="","",'משימות'!A82)</f>
        <v/>
      </c>
      <c r="B97" s="127">
        <f>IF('משימות'!$A82="","",'משימות'!C82)</f>
        <v/>
      </c>
      <c r="C97" s="127">
        <f>IF('משימות'!$A82="","",'משימות'!D82)</f>
        <v/>
      </c>
      <c r="D97" s="128">
        <f>IF('משימות'!$A82="","",'משימות'!G82)</f>
        <v/>
      </c>
      <c r="E97" s="129">
        <f>IF('משימות'!$A82="","",'משימות'!J82)</f>
        <v/>
      </c>
      <c r="F97" s="129">
        <f>IF('משימות'!$A82="","",'משימות'!K82)</f>
        <v/>
      </c>
      <c r="G97" s="130" t="n"/>
      <c r="H97" s="130" t="n"/>
      <c r="I97" s="130" t="n"/>
      <c r="J97" s="130" t="n"/>
      <c r="K97" s="130" t="n"/>
      <c r="L97" s="130" t="n"/>
      <c r="M97" s="130" t="n"/>
      <c r="N97" s="130" t="n"/>
      <c r="O97" s="130" t="n"/>
      <c r="P97" s="130" t="n"/>
      <c r="Q97" s="130" t="n"/>
      <c r="R97" s="130" t="n"/>
      <c r="S97" s="130" t="n"/>
      <c r="T97" s="130" t="n"/>
      <c r="U97" s="130" t="n"/>
      <c r="V97" s="130" t="n"/>
      <c r="W97" s="130" t="n"/>
      <c r="X97" s="130" t="n"/>
      <c r="Y97" s="130" t="n"/>
      <c r="Z97" s="130" t="n"/>
      <c r="AA97" s="130" t="n"/>
      <c r="AB97" s="130" t="n"/>
      <c r="AC97" s="130" t="n"/>
      <c r="AD97" s="130" t="n"/>
      <c r="AE97" s="130" t="n"/>
      <c r="AF97" s="130" t="n"/>
      <c r="AG97" s="130" t="n"/>
      <c r="AH97" s="130" t="n"/>
      <c r="AI97" s="130" t="n"/>
      <c r="AJ97" s="130" t="n"/>
    </row>
    <row r="98">
      <c r="A98" s="126">
        <f>IF('משימות'!$A83="","",'משימות'!A83)</f>
        <v/>
      </c>
      <c r="B98" s="127">
        <f>IF('משימות'!$A83="","",'משימות'!C83)</f>
        <v/>
      </c>
      <c r="C98" s="127">
        <f>IF('משימות'!$A83="","",'משימות'!D83)</f>
        <v/>
      </c>
      <c r="D98" s="128">
        <f>IF('משימות'!$A83="","",'משימות'!G83)</f>
        <v/>
      </c>
      <c r="E98" s="129">
        <f>IF('משימות'!$A83="","",'משימות'!J83)</f>
        <v/>
      </c>
      <c r="F98" s="129">
        <f>IF('משימות'!$A83="","",'משימות'!K83)</f>
        <v/>
      </c>
      <c r="G98" s="130" t="n"/>
      <c r="H98" s="130" t="n"/>
      <c r="I98" s="130" t="n"/>
      <c r="J98" s="130" t="n"/>
      <c r="K98" s="130" t="n"/>
      <c r="L98" s="130" t="n"/>
      <c r="M98" s="130" t="n"/>
      <c r="N98" s="130" t="n"/>
      <c r="O98" s="130" t="n"/>
      <c r="P98" s="130" t="n"/>
      <c r="Q98" s="130" t="n"/>
      <c r="R98" s="130" t="n"/>
      <c r="S98" s="130" t="n"/>
      <c r="T98" s="130" t="n"/>
      <c r="U98" s="130" t="n"/>
      <c r="V98" s="130" t="n"/>
      <c r="W98" s="130" t="n"/>
      <c r="X98" s="130" t="n"/>
      <c r="Y98" s="130" t="n"/>
      <c r="Z98" s="130" t="n"/>
      <c r="AA98" s="130" t="n"/>
      <c r="AB98" s="130" t="n"/>
      <c r="AC98" s="130" t="n"/>
      <c r="AD98" s="130" t="n"/>
      <c r="AE98" s="130" t="n"/>
      <c r="AF98" s="130" t="n"/>
      <c r="AG98" s="130" t="n"/>
      <c r="AH98" s="130" t="n"/>
      <c r="AI98" s="130" t="n"/>
      <c r="AJ98" s="130" t="n"/>
    </row>
    <row r="99">
      <c r="A99" s="126">
        <f>IF('משימות'!$A84="","",'משימות'!A84)</f>
        <v/>
      </c>
      <c r="B99" s="127">
        <f>IF('משימות'!$A84="","",'משימות'!C84)</f>
        <v/>
      </c>
      <c r="C99" s="127">
        <f>IF('משימות'!$A84="","",'משימות'!D84)</f>
        <v/>
      </c>
      <c r="D99" s="128">
        <f>IF('משימות'!$A84="","",'משימות'!G84)</f>
        <v/>
      </c>
      <c r="E99" s="129">
        <f>IF('משימות'!$A84="","",'משימות'!J84)</f>
        <v/>
      </c>
      <c r="F99" s="129">
        <f>IF('משימות'!$A84="","",'משימות'!K84)</f>
        <v/>
      </c>
      <c r="G99" s="130" t="n"/>
      <c r="H99" s="130" t="n"/>
      <c r="I99" s="130" t="n"/>
      <c r="J99" s="130" t="n"/>
      <c r="K99" s="130" t="n"/>
      <c r="L99" s="130" t="n"/>
      <c r="M99" s="130" t="n"/>
      <c r="N99" s="130" t="n"/>
      <c r="O99" s="130" t="n"/>
      <c r="P99" s="130" t="n"/>
      <c r="Q99" s="130" t="n"/>
      <c r="R99" s="130" t="n"/>
      <c r="S99" s="130" t="n"/>
      <c r="T99" s="130" t="n"/>
      <c r="U99" s="130" t="n"/>
      <c r="V99" s="130" t="n"/>
      <c r="W99" s="130" t="n"/>
      <c r="X99" s="130" t="n"/>
      <c r="Y99" s="130" t="n"/>
      <c r="Z99" s="130" t="n"/>
      <c r="AA99" s="130" t="n"/>
      <c r="AB99" s="130" t="n"/>
      <c r="AC99" s="130" t="n"/>
      <c r="AD99" s="130" t="n"/>
      <c r="AE99" s="130" t="n"/>
      <c r="AF99" s="130" t="n"/>
      <c r="AG99" s="130" t="n"/>
      <c r="AH99" s="130" t="n"/>
      <c r="AI99" s="130" t="n"/>
      <c r="AJ99" s="130" t="n"/>
    </row>
    <row r="100">
      <c r="A100" s="126">
        <f>IF('משימות'!$A85="","",'משימות'!A85)</f>
        <v/>
      </c>
      <c r="B100" s="127">
        <f>IF('משימות'!$A85="","",'משימות'!C85)</f>
        <v/>
      </c>
      <c r="C100" s="127">
        <f>IF('משימות'!$A85="","",'משימות'!D85)</f>
        <v/>
      </c>
      <c r="D100" s="128">
        <f>IF('משימות'!$A85="","",'משימות'!G85)</f>
        <v/>
      </c>
      <c r="E100" s="129">
        <f>IF('משימות'!$A85="","",'משימות'!J85)</f>
        <v/>
      </c>
      <c r="F100" s="129">
        <f>IF('משימות'!$A85="","",'משימות'!K85)</f>
        <v/>
      </c>
      <c r="G100" s="130" t="n"/>
      <c r="H100" s="130" t="n"/>
      <c r="I100" s="130" t="n"/>
      <c r="J100" s="130" t="n"/>
      <c r="K100" s="130" t="n"/>
      <c r="L100" s="130" t="n"/>
      <c r="M100" s="130" t="n"/>
      <c r="N100" s="130" t="n"/>
      <c r="O100" s="130" t="n"/>
      <c r="P100" s="130" t="n"/>
      <c r="Q100" s="130" t="n"/>
      <c r="R100" s="130" t="n"/>
      <c r="S100" s="130" t="n"/>
      <c r="T100" s="130" t="n"/>
      <c r="U100" s="130" t="n"/>
      <c r="V100" s="130" t="n"/>
      <c r="W100" s="130" t="n"/>
      <c r="X100" s="130" t="n"/>
      <c r="Y100" s="130" t="n"/>
      <c r="Z100" s="130" t="n"/>
      <c r="AA100" s="130" t="n"/>
      <c r="AB100" s="130" t="n"/>
      <c r="AC100" s="130" t="n"/>
      <c r="AD100" s="130" t="n"/>
      <c r="AE100" s="130" t="n"/>
      <c r="AF100" s="130" t="n"/>
      <c r="AG100" s="130" t="n"/>
      <c r="AH100" s="130" t="n"/>
      <c r="AI100" s="130" t="n"/>
      <c r="AJ100" s="130" t="n"/>
    </row>
    <row r="101">
      <c r="A101" s="126">
        <f>IF('משימות'!$A86="","",'משימות'!A86)</f>
        <v/>
      </c>
      <c r="B101" s="127">
        <f>IF('משימות'!$A86="","",'משימות'!C86)</f>
        <v/>
      </c>
      <c r="C101" s="127">
        <f>IF('משימות'!$A86="","",'משימות'!D86)</f>
        <v/>
      </c>
      <c r="D101" s="128">
        <f>IF('משימות'!$A86="","",'משימות'!G86)</f>
        <v/>
      </c>
      <c r="E101" s="129">
        <f>IF('משימות'!$A86="","",'משימות'!J86)</f>
        <v/>
      </c>
      <c r="F101" s="129">
        <f>IF('משימות'!$A86="","",'משימות'!K86)</f>
        <v/>
      </c>
      <c r="G101" s="130" t="n"/>
      <c r="H101" s="130" t="n"/>
      <c r="I101" s="130" t="n"/>
      <c r="J101" s="130" t="n"/>
      <c r="K101" s="130" t="n"/>
      <c r="L101" s="130" t="n"/>
      <c r="M101" s="130" t="n"/>
      <c r="N101" s="130" t="n"/>
      <c r="O101" s="130" t="n"/>
      <c r="P101" s="130" t="n"/>
      <c r="Q101" s="130" t="n"/>
      <c r="R101" s="130" t="n"/>
      <c r="S101" s="130" t="n"/>
      <c r="T101" s="130" t="n"/>
      <c r="U101" s="130" t="n"/>
      <c r="V101" s="130" t="n"/>
      <c r="W101" s="130" t="n"/>
      <c r="X101" s="130" t="n"/>
      <c r="Y101" s="130" t="n"/>
      <c r="Z101" s="130" t="n"/>
      <c r="AA101" s="130" t="n"/>
      <c r="AB101" s="130" t="n"/>
      <c r="AC101" s="130" t="n"/>
      <c r="AD101" s="130" t="n"/>
      <c r="AE101" s="130" t="n"/>
      <c r="AF101" s="130" t="n"/>
      <c r="AG101" s="130" t="n"/>
      <c r="AH101" s="130" t="n"/>
      <c r="AI101" s="130" t="n"/>
      <c r="AJ101" s="130" t="n"/>
    </row>
    <row r="102">
      <c r="A102" s="126">
        <f>IF('משימות'!$A87="","",'משימות'!A87)</f>
        <v/>
      </c>
      <c r="B102" s="127">
        <f>IF('משימות'!$A87="","",'משימות'!C87)</f>
        <v/>
      </c>
      <c r="C102" s="127">
        <f>IF('משימות'!$A87="","",'משימות'!D87)</f>
        <v/>
      </c>
      <c r="D102" s="128">
        <f>IF('משימות'!$A87="","",'משימות'!G87)</f>
        <v/>
      </c>
      <c r="E102" s="129">
        <f>IF('משימות'!$A87="","",'משימות'!J87)</f>
        <v/>
      </c>
      <c r="F102" s="129">
        <f>IF('משימות'!$A87="","",'משימות'!K87)</f>
        <v/>
      </c>
      <c r="G102" s="130" t="n"/>
      <c r="H102" s="130" t="n"/>
      <c r="I102" s="130" t="n"/>
      <c r="J102" s="130" t="n"/>
      <c r="K102" s="130" t="n"/>
      <c r="L102" s="130" t="n"/>
      <c r="M102" s="130" t="n"/>
      <c r="N102" s="130" t="n"/>
      <c r="O102" s="130" t="n"/>
      <c r="P102" s="130" t="n"/>
      <c r="Q102" s="130" t="n"/>
      <c r="R102" s="130" t="n"/>
      <c r="S102" s="130" t="n"/>
      <c r="T102" s="130" t="n"/>
      <c r="U102" s="130" t="n"/>
      <c r="V102" s="130" t="n"/>
      <c r="W102" s="130" t="n"/>
      <c r="X102" s="130" t="n"/>
      <c r="Y102" s="130" t="n"/>
      <c r="Z102" s="130" t="n"/>
      <c r="AA102" s="130" t="n"/>
      <c r="AB102" s="130" t="n"/>
      <c r="AC102" s="130" t="n"/>
      <c r="AD102" s="130" t="n"/>
      <c r="AE102" s="130" t="n"/>
      <c r="AF102" s="130" t="n"/>
      <c r="AG102" s="130" t="n"/>
      <c r="AH102" s="130" t="n"/>
      <c r="AI102" s="130" t="n"/>
      <c r="AJ102" s="130" t="n"/>
    </row>
    <row r="103">
      <c r="A103" s="126">
        <f>IF('משימות'!$A88="","",'משימות'!A88)</f>
        <v/>
      </c>
      <c r="B103" s="127">
        <f>IF('משימות'!$A88="","",'משימות'!C88)</f>
        <v/>
      </c>
      <c r="C103" s="127">
        <f>IF('משימות'!$A88="","",'משימות'!D88)</f>
        <v/>
      </c>
      <c r="D103" s="128">
        <f>IF('משימות'!$A88="","",'משימות'!G88)</f>
        <v/>
      </c>
      <c r="E103" s="129">
        <f>IF('משימות'!$A88="","",'משימות'!J88)</f>
        <v/>
      </c>
      <c r="F103" s="129">
        <f>IF('משימות'!$A88="","",'משימות'!K88)</f>
        <v/>
      </c>
      <c r="G103" s="130" t="n"/>
      <c r="H103" s="130" t="n"/>
      <c r="I103" s="130" t="n"/>
      <c r="J103" s="130" t="n"/>
      <c r="K103" s="130" t="n"/>
      <c r="L103" s="130" t="n"/>
      <c r="M103" s="130" t="n"/>
      <c r="N103" s="130" t="n"/>
      <c r="O103" s="130" t="n"/>
      <c r="P103" s="130" t="n"/>
      <c r="Q103" s="130" t="n"/>
      <c r="R103" s="130" t="n"/>
      <c r="S103" s="130" t="n"/>
      <c r="T103" s="130" t="n"/>
      <c r="U103" s="130" t="n"/>
      <c r="V103" s="130" t="n"/>
      <c r="W103" s="130" t="n"/>
      <c r="X103" s="130" t="n"/>
      <c r="Y103" s="130" t="n"/>
      <c r="Z103" s="130" t="n"/>
      <c r="AA103" s="130" t="n"/>
      <c r="AB103" s="130" t="n"/>
      <c r="AC103" s="130" t="n"/>
      <c r="AD103" s="130" t="n"/>
      <c r="AE103" s="130" t="n"/>
      <c r="AF103" s="130" t="n"/>
      <c r="AG103" s="130" t="n"/>
      <c r="AH103" s="130" t="n"/>
      <c r="AI103" s="130" t="n"/>
      <c r="AJ103" s="130" t="n"/>
    </row>
    <row r="104">
      <c r="A104" s="126">
        <f>IF('משימות'!$A89="","",'משימות'!A89)</f>
        <v/>
      </c>
      <c r="B104" s="127">
        <f>IF('משימות'!$A89="","",'משימות'!C89)</f>
        <v/>
      </c>
      <c r="C104" s="127">
        <f>IF('משימות'!$A89="","",'משימות'!D89)</f>
        <v/>
      </c>
      <c r="D104" s="128">
        <f>IF('משימות'!$A89="","",'משימות'!G89)</f>
        <v/>
      </c>
      <c r="E104" s="129">
        <f>IF('משימות'!$A89="","",'משימות'!J89)</f>
        <v/>
      </c>
      <c r="F104" s="129">
        <f>IF('משימות'!$A89="","",'משימות'!K89)</f>
        <v/>
      </c>
      <c r="G104" s="130" t="n"/>
      <c r="H104" s="130" t="n"/>
      <c r="I104" s="130" t="n"/>
      <c r="J104" s="130" t="n"/>
      <c r="K104" s="130" t="n"/>
      <c r="L104" s="130" t="n"/>
      <c r="M104" s="130" t="n"/>
      <c r="N104" s="130" t="n"/>
      <c r="O104" s="130" t="n"/>
      <c r="P104" s="130" t="n"/>
      <c r="Q104" s="130" t="n"/>
      <c r="R104" s="130" t="n"/>
      <c r="S104" s="130" t="n"/>
      <c r="T104" s="130" t="n"/>
      <c r="U104" s="130" t="n"/>
      <c r="V104" s="130" t="n"/>
      <c r="W104" s="130" t="n"/>
      <c r="X104" s="130" t="n"/>
      <c r="Y104" s="130" t="n"/>
      <c r="Z104" s="130" t="n"/>
      <c r="AA104" s="130" t="n"/>
      <c r="AB104" s="130" t="n"/>
      <c r="AC104" s="130" t="n"/>
      <c r="AD104" s="130" t="n"/>
      <c r="AE104" s="130" t="n"/>
      <c r="AF104" s="130" t="n"/>
      <c r="AG104" s="130" t="n"/>
      <c r="AH104" s="130" t="n"/>
      <c r="AI104" s="130" t="n"/>
      <c r="AJ104" s="130" t="n"/>
    </row>
    <row r="105">
      <c r="A105" s="126">
        <f>IF('משימות'!$A90="","",'משימות'!A90)</f>
        <v/>
      </c>
      <c r="B105" s="127">
        <f>IF('משימות'!$A90="","",'משימות'!C90)</f>
        <v/>
      </c>
      <c r="C105" s="127">
        <f>IF('משימות'!$A90="","",'משימות'!D90)</f>
        <v/>
      </c>
      <c r="D105" s="128">
        <f>IF('משימות'!$A90="","",'משימות'!G90)</f>
        <v/>
      </c>
      <c r="E105" s="129">
        <f>IF('משימות'!$A90="","",'משימות'!J90)</f>
        <v/>
      </c>
      <c r="F105" s="129">
        <f>IF('משימות'!$A90="","",'משימות'!K90)</f>
        <v/>
      </c>
      <c r="G105" s="130" t="n"/>
      <c r="H105" s="130" t="n"/>
      <c r="I105" s="130" t="n"/>
      <c r="J105" s="130" t="n"/>
      <c r="K105" s="130" t="n"/>
      <c r="L105" s="130" t="n"/>
      <c r="M105" s="130" t="n"/>
      <c r="N105" s="130" t="n"/>
      <c r="O105" s="130" t="n"/>
      <c r="P105" s="130" t="n"/>
      <c r="Q105" s="130" t="n"/>
      <c r="R105" s="130" t="n"/>
      <c r="S105" s="130" t="n"/>
      <c r="T105" s="130" t="n"/>
      <c r="U105" s="130" t="n"/>
      <c r="V105" s="130" t="n"/>
      <c r="W105" s="130" t="n"/>
      <c r="X105" s="130" t="n"/>
      <c r="Y105" s="130" t="n"/>
      <c r="Z105" s="130" t="n"/>
      <c r="AA105" s="130" t="n"/>
      <c r="AB105" s="130" t="n"/>
      <c r="AC105" s="130" t="n"/>
      <c r="AD105" s="130" t="n"/>
      <c r="AE105" s="130" t="n"/>
      <c r="AF105" s="130" t="n"/>
      <c r="AG105" s="130" t="n"/>
      <c r="AH105" s="130" t="n"/>
      <c r="AI105" s="130" t="n"/>
      <c r="AJ105" s="130" t="n"/>
    </row>
    <row r="106">
      <c r="A106" s="126">
        <f>IF('משימות'!$A91="","",'משימות'!A91)</f>
        <v/>
      </c>
      <c r="B106" s="127">
        <f>IF('משימות'!$A91="","",'משימות'!C91)</f>
        <v/>
      </c>
      <c r="C106" s="127">
        <f>IF('משימות'!$A91="","",'משימות'!D91)</f>
        <v/>
      </c>
      <c r="D106" s="128">
        <f>IF('משימות'!$A91="","",'משימות'!G91)</f>
        <v/>
      </c>
      <c r="E106" s="129">
        <f>IF('משימות'!$A91="","",'משימות'!J91)</f>
        <v/>
      </c>
      <c r="F106" s="129">
        <f>IF('משימות'!$A91="","",'משימות'!K91)</f>
        <v/>
      </c>
      <c r="G106" s="130" t="n"/>
      <c r="H106" s="130" t="n"/>
      <c r="I106" s="130" t="n"/>
      <c r="J106" s="130" t="n"/>
      <c r="K106" s="130" t="n"/>
      <c r="L106" s="130" t="n"/>
      <c r="M106" s="130" t="n"/>
      <c r="N106" s="130" t="n"/>
      <c r="O106" s="130" t="n"/>
      <c r="P106" s="130" t="n"/>
      <c r="Q106" s="130" t="n"/>
      <c r="R106" s="130" t="n"/>
      <c r="S106" s="130" t="n"/>
      <c r="T106" s="130" t="n"/>
      <c r="U106" s="130" t="n"/>
      <c r="V106" s="130" t="n"/>
      <c r="W106" s="130" t="n"/>
      <c r="X106" s="130" t="n"/>
      <c r="Y106" s="130" t="n"/>
      <c r="Z106" s="130" t="n"/>
      <c r="AA106" s="130" t="n"/>
      <c r="AB106" s="130" t="n"/>
      <c r="AC106" s="130" t="n"/>
      <c r="AD106" s="130" t="n"/>
      <c r="AE106" s="130" t="n"/>
      <c r="AF106" s="130" t="n"/>
      <c r="AG106" s="130" t="n"/>
      <c r="AH106" s="130" t="n"/>
      <c r="AI106" s="130" t="n"/>
      <c r="AJ106" s="130" t="n"/>
    </row>
    <row r="107">
      <c r="A107" s="126">
        <f>IF('משימות'!$A92="","",'משימות'!A92)</f>
        <v/>
      </c>
      <c r="B107" s="127">
        <f>IF('משימות'!$A92="","",'משימות'!C92)</f>
        <v/>
      </c>
      <c r="C107" s="127">
        <f>IF('משימות'!$A92="","",'משימות'!D92)</f>
        <v/>
      </c>
      <c r="D107" s="128">
        <f>IF('משימות'!$A92="","",'משימות'!G92)</f>
        <v/>
      </c>
      <c r="E107" s="129">
        <f>IF('משימות'!$A92="","",'משימות'!J92)</f>
        <v/>
      </c>
      <c r="F107" s="129">
        <f>IF('משימות'!$A92="","",'משימות'!K92)</f>
        <v/>
      </c>
      <c r="G107" s="130" t="n"/>
      <c r="H107" s="130" t="n"/>
      <c r="I107" s="130" t="n"/>
      <c r="J107" s="130" t="n"/>
      <c r="K107" s="130" t="n"/>
      <c r="L107" s="130" t="n"/>
      <c r="M107" s="130" t="n"/>
      <c r="N107" s="130" t="n"/>
      <c r="O107" s="130" t="n"/>
      <c r="P107" s="130" t="n"/>
      <c r="Q107" s="130" t="n"/>
      <c r="R107" s="130" t="n"/>
      <c r="S107" s="130" t="n"/>
      <c r="T107" s="130" t="n"/>
      <c r="U107" s="130" t="n"/>
      <c r="V107" s="130" t="n"/>
      <c r="W107" s="130" t="n"/>
      <c r="X107" s="130" t="n"/>
      <c r="Y107" s="130" t="n"/>
      <c r="Z107" s="130" t="n"/>
      <c r="AA107" s="130" t="n"/>
      <c r="AB107" s="130" t="n"/>
      <c r="AC107" s="130" t="n"/>
      <c r="AD107" s="130" t="n"/>
      <c r="AE107" s="130" t="n"/>
      <c r="AF107" s="130" t="n"/>
      <c r="AG107" s="130" t="n"/>
      <c r="AH107" s="130" t="n"/>
      <c r="AI107" s="130" t="n"/>
      <c r="AJ107" s="130" t="n"/>
    </row>
    <row r="108">
      <c r="A108" s="126">
        <f>IF('משימות'!$A93="","",'משימות'!A93)</f>
        <v/>
      </c>
      <c r="B108" s="127">
        <f>IF('משימות'!$A93="","",'משימות'!C93)</f>
        <v/>
      </c>
      <c r="C108" s="127">
        <f>IF('משימות'!$A93="","",'משימות'!D93)</f>
        <v/>
      </c>
      <c r="D108" s="128">
        <f>IF('משימות'!$A93="","",'משימות'!G93)</f>
        <v/>
      </c>
      <c r="E108" s="129">
        <f>IF('משימות'!$A93="","",'משימות'!J93)</f>
        <v/>
      </c>
      <c r="F108" s="129">
        <f>IF('משימות'!$A93="","",'משימות'!K93)</f>
        <v/>
      </c>
      <c r="G108" s="130" t="n"/>
      <c r="H108" s="130" t="n"/>
      <c r="I108" s="130" t="n"/>
      <c r="J108" s="130" t="n"/>
      <c r="K108" s="130" t="n"/>
      <c r="L108" s="130" t="n"/>
      <c r="M108" s="130" t="n"/>
      <c r="N108" s="130" t="n"/>
      <c r="O108" s="130" t="n"/>
      <c r="P108" s="130" t="n"/>
      <c r="Q108" s="130" t="n"/>
      <c r="R108" s="130" t="n"/>
      <c r="S108" s="130" t="n"/>
      <c r="T108" s="130" t="n"/>
      <c r="U108" s="130" t="n"/>
      <c r="V108" s="130" t="n"/>
      <c r="W108" s="130" t="n"/>
      <c r="X108" s="130" t="n"/>
      <c r="Y108" s="130" t="n"/>
      <c r="Z108" s="130" t="n"/>
      <c r="AA108" s="130" t="n"/>
      <c r="AB108" s="130" t="n"/>
      <c r="AC108" s="130" t="n"/>
      <c r="AD108" s="130" t="n"/>
      <c r="AE108" s="130" t="n"/>
      <c r="AF108" s="130" t="n"/>
      <c r="AG108" s="130" t="n"/>
      <c r="AH108" s="130" t="n"/>
      <c r="AI108" s="130" t="n"/>
      <c r="AJ108" s="130" t="n"/>
    </row>
    <row r="109">
      <c r="A109" s="126">
        <f>IF('משימות'!$A94="","",'משימות'!A94)</f>
        <v/>
      </c>
      <c r="B109" s="127">
        <f>IF('משימות'!$A94="","",'משימות'!C94)</f>
        <v/>
      </c>
      <c r="C109" s="127">
        <f>IF('משימות'!$A94="","",'משימות'!D94)</f>
        <v/>
      </c>
      <c r="D109" s="128">
        <f>IF('משימות'!$A94="","",'משימות'!G94)</f>
        <v/>
      </c>
      <c r="E109" s="129">
        <f>IF('משימות'!$A94="","",'משימות'!J94)</f>
        <v/>
      </c>
      <c r="F109" s="129">
        <f>IF('משימות'!$A94="","",'משימות'!K94)</f>
        <v/>
      </c>
      <c r="G109" s="130" t="n"/>
      <c r="H109" s="130" t="n"/>
      <c r="I109" s="130" t="n"/>
      <c r="J109" s="130" t="n"/>
      <c r="K109" s="130" t="n"/>
      <c r="L109" s="130" t="n"/>
      <c r="M109" s="130" t="n"/>
      <c r="N109" s="130" t="n"/>
      <c r="O109" s="130" t="n"/>
      <c r="P109" s="130" t="n"/>
      <c r="Q109" s="130" t="n"/>
      <c r="R109" s="130" t="n"/>
      <c r="S109" s="130" t="n"/>
      <c r="T109" s="130" t="n"/>
      <c r="U109" s="130" t="n"/>
      <c r="V109" s="130" t="n"/>
      <c r="W109" s="130" t="n"/>
      <c r="X109" s="130" t="n"/>
      <c r="Y109" s="130" t="n"/>
      <c r="Z109" s="130" t="n"/>
      <c r="AA109" s="130" t="n"/>
      <c r="AB109" s="130" t="n"/>
      <c r="AC109" s="130" t="n"/>
      <c r="AD109" s="130" t="n"/>
      <c r="AE109" s="130" t="n"/>
      <c r="AF109" s="130" t="n"/>
      <c r="AG109" s="130" t="n"/>
      <c r="AH109" s="130" t="n"/>
      <c r="AI109" s="130" t="n"/>
      <c r="AJ109" s="130" t="n"/>
    </row>
    <row r="110">
      <c r="A110" s="126">
        <f>IF('משימות'!$A95="","",'משימות'!A95)</f>
        <v/>
      </c>
      <c r="B110" s="127">
        <f>IF('משימות'!$A95="","",'משימות'!C95)</f>
        <v/>
      </c>
      <c r="C110" s="127">
        <f>IF('משימות'!$A95="","",'משימות'!D95)</f>
        <v/>
      </c>
      <c r="D110" s="128">
        <f>IF('משימות'!$A95="","",'משימות'!G95)</f>
        <v/>
      </c>
      <c r="E110" s="129">
        <f>IF('משימות'!$A95="","",'משימות'!J95)</f>
        <v/>
      </c>
      <c r="F110" s="129">
        <f>IF('משימות'!$A95="","",'משימות'!K95)</f>
        <v/>
      </c>
      <c r="G110" s="130" t="n"/>
      <c r="H110" s="130" t="n"/>
      <c r="I110" s="130" t="n"/>
      <c r="J110" s="130" t="n"/>
      <c r="K110" s="130" t="n"/>
      <c r="L110" s="130" t="n"/>
      <c r="M110" s="130" t="n"/>
      <c r="N110" s="130" t="n"/>
      <c r="O110" s="130" t="n"/>
      <c r="P110" s="130" t="n"/>
      <c r="Q110" s="130" t="n"/>
      <c r="R110" s="130" t="n"/>
      <c r="S110" s="130" t="n"/>
      <c r="T110" s="130" t="n"/>
      <c r="U110" s="130" t="n"/>
      <c r="V110" s="130" t="n"/>
      <c r="W110" s="130" t="n"/>
      <c r="X110" s="130" t="n"/>
      <c r="Y110" s="130" t="n"/>
      <c r="Z110" s="130" t="n"/>
      <c r="AA110" s="130" t="n"/>
      <c r="AB110" s="130" t="n"/>
      <c r="AC110" s="130" t="n"/>
      <c r="AD110" s="130" t="n"/>
      <c r="AE110" s="130" t="n"/>
      <c r="AF110" s="130" t="n"/>
      <c r="AG110" s="130" t="n"/>
      <c r="AH110" s="130" t="n"/>
      <c r="AI110" s="130" t="n"/>
      <c r="AJ110" s="130" t="n"/>
    </row>
    <row r="112">
      <c r="B112" s="101" t="inlineStr">
        <is>
          <t>מקרא צבעי פסים:</t>
        </is>
      </c>
    </row>
    <row r="113">
      <c r="B113" s="131" t="inlineStr">
        <is>
          <t>לא התחיל / רגיל</t>
        </is>
      </c>
      <c r="C113" s="132" t="inlineStr">
        <is>
          <t>הושלם</t>
        </is>
      </c>
      <c r="D113" s="133" t="inlineStr">
        <is>
          <t>באיחור</t>
        </is>
      </c>
      <c r="E113" s="134" t="inlineStr">
        <is>
          <t>בתהליך</t>
        </is>
      </c>
      <c r="F113" s="135" t="inlineStr">
        <is>
          <t>ממתין</t>
        </is>
      </c>
      <c r="G113" s="136" t="inlineStr">
        <is>
          <t>תקוע</t>
        </is>
      </c>
      <c r="H113" s="137" t="inlineStr">
        <is>
          <t>בוטל</t>
        </is>
      </c>
    </row>
    <row r="114">
      <c r="B114" s="138" t="inlineStr">
        <is>
          <t>◆ אבן דרך · עמודה צהובה = השבוע הנוכחי · כותרת כתומה = שבוע המפתח · משימות שמסתיימות אחרי 25/04/2027 נחתכות בקצה</t>
        </is>
      </c>
    </row>
  </sheetData>
  <mergeCells count="17">
    <mergeCell ref="K3:O3"/>
    <mergeCell ref="A6:AJ6"/>
    <mergeCell ref="G3:J3"/>
    <mergeCell ref="C3:C4"/>
    <mergeCell ref="AC3:AF3"/>
    <mergeCell ref="A3:A4"/>
    <mergeCell ref="P3:S3"/>
    <mergeCell ref="AG3:AJ3"/>
    <mergeCell ref="B3:B4"/>
    <mergeCell ref="E3:E4"/>
    <mergeCell ref="D3:D4"/>
    <mergeCell ref="F3:F4"/>
    <mergeCell ref="A2:AJ2"/>
    <mergeCell ref="Y3:AB3"/>
    <mergeCell ref="A19:AJ19"/>
    <mergeCell ref="T3:X3"/>
    <mergeCell ref="A1:AJ1"/>
  </mergeCells>
  <conditionalFormatting sqref="G7:AJ18">
    <cfRule type="expression" priority="1" dxfId="20">
      <formula>AND(G7="◆",$A7="M6")</formula>
    </cfRule>
  </conditionalFormatting>
  <conditionalFormatting sqref="G20:AJ110">
    <cfRule type="expression" priority="2" dxfId="21" stopIfTrue="1">
      <formula>AND(AND($E20&lt;&gt;"",$F20&lt;&gt;"",$E20&lt;=G$4+6,$F20&gt;=G$4),$D20="הושלם")</formula>
    </cfRule>
    <cfRule type="expression" priority="3" dxfId="22" stopIfTrue="1">
      <formula>AND(AND($E20&lt;&gt;"",$F20&lt;&gt;"",$E20&lt;=G$4+6,$F20&gt;=G$4),$D20="באיחור")</formula>
    </cfRule>
    <cfRule type="expression" priority="4" dxfId="23" stopIfTrue="1">
      <formula>AND(AND($E20&lt;&gt;"",$F20&lt;&gt;"",$E20&lt;=G$4+6,$F20&gt;=G$4),$D20="בתהליך")</formula>
    </cfRule>
    <cfRule type="expression" priority="5" dxfId="24" stopIfTrue="1">
      <formula>AND(AND($E20&lt;&gt;"",$F20&lt;&gt;"",$E20&lt;=G$4+6,$F20&gt;=G$4),$D20="ממתין")</formula>
    </cfRule>
    <cfRule type="expression" priority="6" dxfId="25" stopIfTrue="1">
      <formula>AND(AND($E20&lt;&gt;"",$F20&lt;&gt;"",$E20&lt;=G$4+6,$F20&gt;=G$4),$D20="תקוע")</formula>
    </cfRule>
    <cfRule type="expression" priority="7" dxfId="26" stopIfTrue="1">
      <formula>AND(AND($E20&lt;&gt;"",$F20&lt;&gt;"",$E20&lt;=G$4+6,$F20&gt;=G$4),$D20="בוטל")</formula>
    </cfRule>
    <cfRule type="expression" priority="8" dxfId="27" stopIfTrue="1">
      <formula>AND($E20&lt;&gt;"",$F20&lt;&gt;"",$E20&lt;=G$4+6,$F20&gt;=G$4)</formula>
    </cfRule>
  </conditionalFormatting>
  <conditionalFormatting sqref="G7:AJ110">
    <cfRule type="expression" priority="9" dxfId="28">
      <formula>AND(Today_&gt;=G$4,Today_&lt;G$4+7)</formula>
    </cfRule>
  </conditionalFormatting>
  <conditionalFormatting sqref="G4:AJ4">
    <cfRule type="expression" priority="10" dxfId="29">
      <formula>AND(Today_&gt;=G$4,Today_&lt;G$4+7)</formula>
    </cfRule>
    <cfRule type="expression" priority="11" dxfId="30">
      <formula>AND(KeyActive&gt;=G$4,KeyActive&lt;G$4+7)</formula>
    </cfRule>
  </conditionalFormatting>
  <conditionalFormatting sqref="D20:D110">
    <cfRule type="expression" priority="12" dxfId="2" stopIfTrue="0">
      <formula>$D20="לא התחיל"</formula>
    </cfRule>
    <cfRule type="expression" priority="13" dxfId="3" stopIfTrue="0">
      <formula>$D20="בתהליך"</formula>
    </cfRule>
    <cfRule type="expression" priority="14" dxfId="4" stopIfTrue="0">
      <formula>$D20="ממתין"</formula>
    </cfRule>
    <cfRule type="expression" priority="15" dxfId="5" stopIfTrue="0">
      <formula>$D20="תקוע"</formula>
    </cfRule>
    <cfRule type="expression" priority="16" dxfId="6" stopIfTrue="0">
      <formula>$D20="באיחור"</formula>
    </cfRule>
    <cfRule type="expression" priority="17" dxfId="7" stopIfTrue="0">
      <formula>$D20="הושלם"</formula>
    </cfRule>
    <cfRule type="expression" priority="18" dxfId="8" stopIfTrue="0">
      <formula>$D20="בוטל"</formula>
    </cfRule>
  </conditionalFormatting>
  <conditionalFormatting sqref="A20:F110">
    <cfRule type="expression" priority="19" dxfId="12">
      <formula>AND($A20&lt;&gt;"",MOD(ROW(),2)=0)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B2777"/>
    <outlinePr summaryBelow="1" summaryRight="1"/>
    <pageSetUpPr fitToPage="1"/>
  </sheetPr>
  <dimension ref="A1:AB72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1" customWidth="1" min="4" max="4"/>
    <col width="2.5" customWidth="1" min="5" max="5"/>
    <col width="8" customWidth="1" min="6" max="6"/>
    <col width="34" customWidth="1" min="7" max="7"/>
    <col width="10" customWidth="1" min="8" max="8"/>
    <col width="11" customWidth="1" min="9" max="9"/>
    <col width="2.5" customWidth="1" min="10" max="10"/>
    <col width="8" customWidth="1" min="11" max="11"/>
    <col width="34" customWidth="1" min="12" max="12"/>
    <col width="10" customWidth="1" min="13" max="13"/>
    <col width="11" customWidth="1" min="14" max="14"/>
    <col width="2.5" customWidth="1" min="15" max="15"/>
    <col width="8" customWidth="1" min="16" max="16"/>
    <col width="34" customWidth="1" min="17" max="17"/>
    <col width="10" customWidth="1" min="18" max="18"/>
    <col width="11" customWidth="1" min="19" max="19"/>
    <col hidden="1" width="13" customWidth="1" min="25" max="25"/>
    <col hidden="1" width="13" customWidth="1" min="26" max="26"/>
    <col hidden="1" width="13" customWidth="1" min="27" max="27"/>
    <col hidden="1" width="13" customWidth="1" min="28" max="28"/>
  </cols>
  <sheetData>
    <row r="1" ht="38" customHeight="1">
      <c r="A1" s="139" t="inlineStr">
        <is>
          <t>👥 מה על מי — משימות פתוחות לפי אחראי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</row>
    <row r="2" ht="20" customHeight="1">
      <c r="A2" s="3" t="inlineStr">
        <is>
          <t>ממוין לפי תאריך יעד (תרחיש פעיל) · "כל המשפחה" ומשימות משותפות (אריאל+רינת) מופיעות אצל שניהם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4">
      <c r="A4" s="140" t="inlineStr">
        <is>
          <t>👤 אריאל</t>
        </is>
      </c>
      <c r="B4" s="140" t="n"/>
      <c r="C4" s="140" t="n"/>
      <c r="D4" s="140" t="n"/>
      <c r="F4" s="141" t="inlineStr">
        <is>
          <t>👤 רינת</t>
        </is>
      </c>
      <c r="G4" s="141" t="n"/>
      <c r="H4" s="141" t="n"/>
      <c r="I4" s="141" t="n"/>
      <c r="K4" s="142" t="inlineStr">
        <is>
          <t>🤖 תמר</t>
        </is>
      </c>
      <c r="L4" s="142" t="n"/>
      <c r="M4" s="142" t="n"/>
      <c r="N4" s="142" t="n"/>
      <c r="P4" s="143" t="inlineStr">
        <is>
          <t>👷 אנשי מקצוע / אחרים</t>
        </is>
      </c>
      <c r="Q4" s="143" t="n"/>
      <c r="R4" s="143" t="n"/>
      <c r="S4" s="143" t="n"/>
    </row>
    <row r="5">
      <c r="A5" s="144">
        <f>"פתוחות: "&amp;COUNT(T_Ariel)&amp;"   ·   ⏰ באיחור: "&amp;SUMPRODUCT(--ISNUMBER(SEARCH("אריאל",T_Owner)),--(T_Eff="באיחור"))&amp;"   ·   ✅ הושלמו: "&amp;SUMPRODUCT(--ISNUMBER(SEARCH("אריאל",T_Owner)),--(T_Status="הושלם"))</f>
        <v/>
      </c>
      <c r="B5" s="144" t="n"/>
      <c r="C5" s="144" t="n"/>
      <c r="D5" s="144" t="n"/>
      <c r="F5" s="145">
        <f>"פתוחות: "&amp;COUNT(T_Rinat)&amp;"   ·   ⏰ באיחור: "&amp;SUMPRODUCT(--ISNUMBER(SEARCH("רינת",T_Owner)),--(T_Eff="באיחור"))&amp;"   ·   ✅ הושלמו: "&amp;SUMPRODUCT(--ISNUMBER(SEARCH("רינת",T_Owner)),--(T_Status="הושלם"))</f>
        <v/>
      </c>
      <c r="G5" s="145" t="n"/>
      <c r="H5" s="145" t="n"/>
      <c r="I5" s="145" t="n"/>
      <c r="K5" s="146">
        <f>"פתוחות: "&amp;COUNT(T_Tamar)&amp;"   ·   ⏰ באיחור: "&amp;SUMPRODUCT(--ISNUMBER(SEARCH("תמר",T_Owner)),--(T_Eff="באיחור"))&amp;"   ·   ✅ הושלמו: "&amp;SUMPRODUCT(--ISNUMBER(SEARCH("תמר",T_Owner)),--(T_Status="הושלם"))</f>
        <v/>
      </c>
      <c r="L5" s="146" t="n"/>
      <c r="M5" s="146" t="n"/>
      <c r="N5" s="146" t="n"/>
      <c r="P5" s="147">
        <f>"פתוחות: "&amp;COUNT(T_Other)</f>
        <v/>
      </c>
      <c r="Q5" s="147" t="n"/>
      <c r="R5" s="147" t="n"/>
      <c r="S5" s="147" t="n"/>
    </row>
    <row r="6" ht="30" customHeight="1">
      <c r="A6" s="148" t="inlineStr">
        <is>
          <t>ID</t>
        </is>
      </c>
      <c r="B6" s="148" t="inlineStr">
        <is>
          <t>משימה</t>
        </is>
      </c>
      <c r="C6" s="148" t="inlineStr">
        <is>
          <t>🎯 יעד</t>
        </is>
      </c>
      <c r="D6" s="148" t="inlineStr">
        <is>
          <t>⚡ מצב</t>
        </is>
      </c>
      <c r="F6" s="149" t="inlineStr">
        <is>
          <t>ID</t>
        </is>
      </c>
      <c r="G6" s="149" t="inlineStr">
        <is>
          <t>משימה</t>
        </is>
      </c>
      <c r="H6" s="149" t="inlineStr">
        <is>
          <t>🎯 יעד</t>
        </is>
      </c>
      <c r="I6" s="149" t="inlineStr">
        <is>
          <t>⚡ מצב</t>
        </is>
      </c>
      <c r="K6" s="150" t="inlineStr">
        <is>
          <t>ID</t>
        </is>
      </c>
      <c r="L6" s="150" t="inlineStr">
        <is>
          <t>משימה</t>
        </is>
      </c>
      <c r="M6" s="150" t="inlineStr">
        <is>
          <t>🎯 יעד</t>
        </is>
      </c>
      <c r="N6" s="150" t="inlineStr">
        <is>
          <t>⚡ מצב</t>
        </is>
      </c>
      <c r="P6" s="151" t="inlineStr">
        <is>
          <t>ID</t>
        </is>
      </c>
      <c r="Q6" s="151" t="inlineStr">
        <is>
          <t>משימה</t>
        </is>
      </c>
      <c r="R6" s="151" t="inlineStr">
        <is>
          <t>🎯 יעד</t>
        </is>
      </c>
      <c r="S6" s="151" t="inlineStr">
        <is>
          <t>⚡ מצב</t>
        </is>
      </c>
    </row>
    <row r="7">
      <c r="A7" s="152">
        <f>IF($Y7="","",INDEX(T_ID,$Y7))</f>
        <v/>
      </c>
      <c r="B7" s="153">
        <f>IF($Y7="","",INDEX(T_Task,$Y7))</f>
        <v/>
      </c>
      <c r="C7" s="154">
        <f>IF($Y7="","",INDEX(T_Due,$Y7))</f>
        <v/>
      </c>
      <c r="D7" s="155">
        <f>IF($Y7="","",INDEX(T_Eff,$Y7))</f>
        <v/>
      </c>
      <c r="F7" s="156">
        <f>IF($Z7="","",INDEX(T_ID,$Z7))</f>
        <v/>
      </c>
      <c r="G7" s="153">
        <f>IF($Z7="","",INDEX(T_Task,$Z7))</f>
        <v/>
      </c>
      <c r="H7" s="154">
        <f>IF($Z7="","",INDEX(T_Due,$Z7))</f>
        <v/>
      </c>
      <c r="I7" s="155">
        <f>IF($Z7="","",INDEX(T_Eff,$Z7))</f>
        <v/>
      </c>
      <c r="K7" s="157">
        <f>IF($AA7="","",INDEX(T_ID,$AA7))</f>
        <v/>
      </c>
      <c r="L7" s="153">
        <f>IF($AA7="","",INDEX(T_Task,$AA7))</f>
        <v/>
      </c>
      <c r="M7" s="154">
        <f>IF($AA7="","",INDEX(T_Due,$AA7))</f>
        <v/>
      </c>
      <c r="N7" s="155">
        <f>IF($AA7="","",INDEX(T_Eff,$AA7))</f>
        <v/>
      </c>
      <c r="P7" s="158">
        <f>IF($AB7="","",INDEX(T_ID,$AB7))</f>
        <v/>
      </c>
      <c r="Q7" s="153">
        <f>IF($AB7="","",INDEX(T_Task,$AB7))</f>
        <v/>
      </c>
      <c r="R7" s="154">
        <f>IF($AB7="","",INDEX(T_Due,$AB7))</f>
        <v/>
      </c>
      <c r="S7" s="155">
        <f>IF($AB7="","",INDEX(T_Eff,$AB7))</f>
        <v/>
      </c>
      <c r="Y7">
        <f>IFERROR(MATCH(SMALL(T_Ariel,1),T_Ariel,0),"")</f>
        <v/>
      </c>
      <c r="Z7">
        <f>IFERROR(MATCH(SMALL(T_Rinat,1),T_Rinat,0),"")</f>
        <v/>
      </c>
      <c r="AA7">
        <f>IFERROR(MATCH(SMALL(T_Tamar,1),T_Tamar,0),"")</f>
        <v/>
      </c>
      <c r="AB7">
        <f>IFERROR(MATCH(SMALL(T_Other,1),T_Other,0),"")</f>
        <v/>
      </c>
    </row>
    <row r="8">
      <c r="A8" s="152">
        <f>IF($Y8="","",INDEX(T_ID,$Y8))</f>
        <v/>
      </c>
      <c r="B8" s="153">
        <f>IF($Y8="","",INDEX(T_Task,$Y8))</f>
        <v/>
      </c>
      <c r="C8" s="154">
        <f>IF($Y8="","",INDEX(T_Due,$Y8))</f>
        <v/>
      </c>
      <c r="D8" s="155">
        <f>IF($Y8="","",INDEX(T_Eff,$Y8))</f>
        <v/>
      </c>
      <c r="F8" s="156">
        <f>IF($Z8="","",INDEX(T_ID,$Z8))</f>
        <v/>
      </c>
      <c r="G8" s="153">
        <f>IF($Z8="","",INDEX(T_Task,$Z8))</f>
        <v/>
      </c>
      <c r="H8" s="154">
        <f>IF($Z8="","",INDEX(T_Due,$Z8))</f>
        <v/>
      </c>
      <c r="I8" s="155">
        <f>IF($Z8="","",INDEX(T_Eff,$Z8))</f>
        <v/>
      </c>
      <c r="K8" s="157">
        <f>IF($AA8="","",INDEX(T_ID,$AA8))</f>
        <v/>
      </c>
      <c r="L8" s="153">
        <f>IF($AA8="","",INDEX(T_Task,$AA8))</f>
        <v/>
      </c>
      <c r="M8" s="154">
        <f>IF($AA8="","",INDEX(T_Due,$AA8))</f>
        <v/>
      </c>
      <c r="N8" s="155">
        <f>IF($AA8="","",INDEX(T_Eff,$AA8))</f>
        <v/>
      </c>
      <c r="P8" s="158">
        <f>IF($AB8="","",INDEX(T_ID,$AB8))</f>
        <v/>
      </c>
      <c r="Q8" s="153">
        <f>IF($AB8="","",INDEX(T_Task,$AB8))</f>
        <v/>
      </c>
      <c r="R8" s="154">
        <f>IF($AB8="","",INDEX(T_Due,$AB8))</f>
        <v/>
      </c>
      <c r="S8" s="155">
        <f>IF($AB8="","",INDEX(T_Eff,$AB8))</f>
        <v/>
      </c>
      <c r="Y8">
        <f>IFERROR(MATCH(SMALL(T_Ariel,2),T_Ariel,0),"")</f>
        <v/>
      </c>
      <c r="Z8">
        <f>IFERROR(MATCH(SMALL(T_Rinat,2),T_Rinat,0),"")</f>
        <v/>
      </c>
      <c r="AA8">
        <f>IFERROR(MATCH(SMALL(T_Tamar,2),T_Tamar,0),"")</f>
        <v/>
      </c>
      <c r="AB8">
        <f>IFERROR(MATCH(SMALL(T_Other,2),T_Other,0),"")</f>
        <v/>
      </c>
    </row>
    <row r="9">
      <c r="A9" s="152">
        <f>IF($Y9="","",INDEX(T_ID,$Y9))</f>
        <v/>
      </c>
      <c r="B9" s="153">
        <f>IF($Y9="","",INDEX(T_Task,$Y9))</f>
        <v/>
      </c>
      <c r="C9" s="154">
        <f>IF($Y9="","",INDEX(T_Due,$Y9))</f>
        <v/>
      </c>
      <c r="D9" s="155">
        <f>IF($Y9="","",INDEX(T_Eff,$Y9))</f>
        <v/>
      </c>
      <c r="F9" s="156">
        <f>IF($Z9="","",INDEX(T_ID,$Z9))</f>
        <v/>
      </c>
      <c r="G9" s="153">
        <f>IF($Z9="","",INDEX(T_Task,$Z9))</f>
        <v/>
      </c>
      <c r="H9" s="154">
        <f>IF($Z9="","",INDEX(T_Due,$Z9))</f>
        <v/>
      </c>
      <c r="I9" s="155">
        <f>IF($Z9="","",INDEX(T_Eff,$Z9))</f>
        <v/>
      </c>
      <c r="K9" s="157">
        <f>IF($AA9="","",INDEX(T_ID,$AA9))</f>
        <v/>
      </c>
      <c r="L9" s="153">
        <f>IF($AA9="","",INDEX(T_Task,$AA9))</f>
        <v/>
      </c>
      <c r="M9" s="154">
        <f>IF($AA9="","",INDEX(T_Due,$AA9))</f>
        <v/>
      </c>
      <c r="N9" s="155">
        <f>IF($AA9="","",INDEX(T_Eff,$AA9))</f>
        <v/>
      </c>
      <c r="P9" s="158">
        <f>IF($AB9="","",INDEX(T_ID,$AB9))</f>
        <v/>
      </c>
      <c r="Q9" s="153">
        <f>IF($AB9="","",INDEX(T_Task,$AB9))</f>
        <v/>
      </c>
      <c r="R9" s="154">
        <f>IF($AB9="","",INDEX(T_Due,$AB9))</f>
        <v/>
      </c>
      <c r="S9" s="155">
        <f>IF($AB9="","",INDEX(T_Eff,$AB9))</f>
        <v/>
      </c>
      <c r="Y9">
        <f>IFERROR(MATCH(SMALL(T_Ariel,3),T_Ariel,0),"")</f>
        <v/>
      </c>
      <c r="Z9">
        <f>IFERROR(MATCH(SMALL(T_Rinat,3),T_Rinat,0),"")</f>
        <v/>
      </c>
      <c r="AA9">
        <f>IFERROR(MATCH(SMALL(T_Tamar,3),T_Tamar,0),"")</f>
        <v/>
      </c>
      <c r="AB9">
        <f>IFERROR(MATCH(SMALL(T_Other,3),T_Other,0),"")</f>
        <v/>
      </c>
    </row>
    <row r="10">
      <c r="A10" s="152">
        <f>IF($Y10="","",INDEX(T_ID,$Y10))</f>
        <v/>
      </c>
      <c r="B10" s="153">
        <f>IF($Y10="","",INDEX(T_Task,$Y10))</f>
        <v/>
      </c>
      <c r="C10" s="154">
        <f>IF($Y10="","",INDEX(T_Due,$Y10))</f>
        <v/>
      </c>
      <c r="D10" s="155">
        <f>IF($Y10="","",INDEX(T_Eff,$Y10))</f>
        <v/>
      </c>
      <c r="F10" s="156">
        <f>IF($Z10="","",INDEX(T_ID,$Z10))</f>
        <v/>
      </c>
      <c r="G10" s="153">
        <f>IF($Z10="","",INDEX(T_Task,$Z10))</f>
        <v/>
      </c>
      <c r="H10" s="154">
        <f>IF($Z10="","",INDEX(T_Due,$Z10))</f>
        <v/>
      </c>
      <c r="I10" s="155">
        <f>IF($Z10="","",INDEX(T_Eff,$Z10))</f>
        <v/>
      </c>
      <c r="K10" s="157">
        <f>IF($AA10="","",INDEX(T_ID,$AA10))</f>
        <v/>
      </c>
      <c r="L10" s="153">
        <f>IF($AA10="","",INDEX(T_Task,$AA10))</f>
        <v/>
      </c>
      <c r="M10" s="154">
        <f>IF($AA10="","",INDEX(T_Due,$AA10))</f>
        <v/>
      </c>
      <c r="N10" s="155">
        <f>IF($AA10="","",INDEX(T_Eff,$AA10))</f>
        <v/>
      </c>
      <c r="P10" s="158">
        <f>IF($AB10="","",INDEX(T_ID,$AB10))</f>
        <v/>
      </c>
      <c r="Q10" s="153">
        <f>IF($AB10="","",INDEX(T_Task,$AB10))</f>
        <v/>
      </c>
      <c r="R10" s="154">
        <f>IF($AB10="","",INDEX(T_Due,$AB10))</f>
        <v/>
      </c>
      <c r="S10" s="155">
        <f>IF($AB10="","",INDEX(T_Eff,$AB10))</f>
        <v/>
      </c>
      <c r="Y10">
        <f>IFERROR(MATCH(SMALL(T_Ariel,4),T_Ariel,0),"")</f>
        <v/>
      </c>
      <c r="Z10">
        <f>IFERROR(MATCH(SMALL(T_Rinat,4),T_Rinat,0),"")</f>
        <v/>
      </c>
      <c r="AA10">
        <f>IFERROR(MATCH(SMALL(T_Tamar,4),T_Tamar,0),"")</f>
        <v/>
      </c>
      <c r="AB10">
        <f>IFERROR(MATCH(SMALL(T_Other,4),T_Other,0),"")</f>
        <v/>
      </c>
    </row>
    <row r="11">
      <c r="A11" s="152">
        <f>IF($Y11="","",INDEX(T_ID,$Y11))</f>
        <v/>
      </c>
      <c r="B11" s="153">
        <f>IF($Y11="","",INDEX(T_Task,$Y11))</f>
        <v/>
      </c>
      <c r="C11" s="154">
        <f>IF($Y11="","",INDEX(T_Due,$Y11))</f>
        <v/>
      </c>
      <c r="D11" s="155">
        <f>IF($Y11="","",INDEX(T_Eff,$Y11))</f>
        <v/>
      </c>
      <c r="F11" s="156">
        <f>IF($Z11="","",INDEX(T_ID,$Z11))</f>
        <v/>
      </c>
      <c r="G11" s="153">
        <f>IF($Z11="","",INDEX(T_Task,$Z11))</f>
        <v/>
      </c>
      <c r="H11" s="154">
        <f>IF($Z11="","",INDEX(T_Due,$Z11))</f>
        <v/>
      </c>
      <c r="I11" s="155">
        <f>IF($Z11="","",INDEX(T_Eff,$Z11))</f>
        <v/>
      </c>
      <c r="K11" s="157">
        <f>IF($AA11="","",INDEX(T_ID,$AA11))</f>
        <v/>
      </c>
      <c r="L11" s="153">
        <f>IF($AA11="","",INDEX(T_Task,$AA11))</f>
        <v/>
      </c>
      <c r="M11" s="154">
        <f>IF($AA11="","",INDEX(T_Due,$AA11))</f>
        <v/>
      </c>
      <c r="N11" s="155">
        <f>IF($AA11="","",INDEX(T_Eff,$AA11))</f>
        <v/>
      </c>
      <c r="P11" s="158">
        <f>IF($AB11="","",INDEX(T_ID,$AB11))</f>
        <v/>
      </c>
      <c r="Q11" s="153">
        <f>IF($AB11="","",INDEX(T_Task,$AB11))</f>
        <v/>
      </c>
      <c r="R11" s="154">
        <f>IF($AB11="","",INDEX(T_Due,$AB11))</f>
        <v/>
      </c>
      <c r="S11" s="155">
        <f>IF($AB11="","",INDEX(T_Eff,$AB11))</f>
        <v/>
      </c>
      <c r="Y11">
        <f>IFERROR(MATCH(SMALL(T_Ariel,5),T_Ariel,0),"")</f>
        <v/>
      </c>
      <c r="Z11">
        <f>IFERROR(MATCH(SMALL(T_Rinat,5),T_Rinat,0),"")</f>
        <v/>
      </c>
      <c r="AA11">
        <f>IFERROR(MATCH(SMALL(T_Tamar,5),T_Tamar,0),"")</f>
        <v/>
      </c>
      <c r="AB11">
        <f>IFERROR(MATCH(SMALL(T_Other,5),T_Other,0),"")</f>
        <v/>
      </c>
    </row>
    <row r="12">
      <c r="A12" s="152">
        <f>IF($Y12="","",INDEX(T_ID,$Y12))</f>
        <v/>
      </c>
      <c r="B12" s="153">
        <f>IF($Y12="","",INDEX(T_Task,$Y12))</f>
        <v/>
      </c>
      <c r="C12" s="154">
        <f>IF($Y12="","",INDEX(T_Due,$Y12))</f>
        <v/>
      </c>
      <c r="D12" s="155">
        <f>IF($Y12="","",INDEX(T_Eff,$Y12))</f>
        <v/>
      </c>
      <c r="F12" s="156">
        <f>IF($Z12="","",INDEX(T_ID,$Z12))</f>
        <v/>
      </c>
      <c r="G12" s="153">
        <f>IF($Z12="","",INDEX(T_Task,$Z12))</f>
        <v/>
      </c>
      <c r="H12" s="154">
        <f>IF($Z12="","",INDEX(T_Due,$Z12))</f>
        <v/>
      </c>
      <c r="I12" s="155">
        <f>IF($Z12="","",INDEX(T_Eff,$Z12))</f>
        <v/>
      </c>
      <c r="K12" s="157">
        <f>IF($AA12="","",INDEX(T_ID,$AA12))</f>
        <v/>
      </c>
      <c r="L12" s="153">
        <f>IF($AA12="","",INDEX(T_Task,$AA12))</f>
        <v/>
      </c>
      <c r="M12" s="154">
        <f>IF($AA12="","",INDEX(T_Due,$AA12))</f>
        <v/>
      </c>
      <c r="N12" s="155">
        <f>IF($AA12="","",INDEX(T_Eff,$AA12))</f>
        <v/>
      </c>
      <c r="P12" s="158">
        <f>IF($AB12="","",INDEX(T_ID,$AB12))</f>
        <v/>
      </c>
      <c r="Q12" s="153">
        <f>IF($AB12="","",INDEX(T_Task,$AB12))</f>
        <v/>
      </c>
      <c r="R12" s="154">
        <f>IF($AB12="","",INDEX(T_Due,$AB12))</f>
        <v/>
      </c>
      <c r="S12" s="155">
        <f>IF($AB12="","",INDEX(T_Eff,$AB12))</f>
        <v/>
      </c>
      <c r="Y12">
        <f>IFERROR(MATCH(SMALL(T_Ariel,6),T_Ariel,0),"")</f>
        <v/>
      </c>
      <c r="Z12">
        <f>IFERROR(MATCH(SMALL(T_Rinat,6),T_Rinat,0),"")</f>
        <v/>
      </c>
      <c r="AA12">
        <f>IFERROR(MATCH(SMALL(T_Tamar,6),T_Tamar,0),"")</f>
        <v/>
      </c>
      <c r="AB12">
        <f>IFERROR(MATCH(SMALL(T_Other,6),T_Other,0),"")</f>
        <v/>
      </c>
    </row>
    <row r="13">
      <c r="A13" s="152">
        <f>IF($Y13="","",INDEX(T_ID,$Y13))</f>
        <v/>
      </c>
      <c r="B13" s="153">
        <f>IF($Y13="","",INDEX(T_Task,$Y13))</f>
        <v/>
      </c>
      <c r="C13" s="154">
        <f>IF($Y13="","",INDEX(T_Due,$Y13))</f>
        <v/>
      </c>
      <c r="D13" s="155">
        <f>IF($Y13="","",INDEX(T_Eff,$Y13))</f>
        <v/>
      </c>
      <c r="F13" s="156">
        <f>IF($Z13="","",INDEX(T_ID,$Z13))</f>
        <v/>
      </c>
      <c r="G13" s="153">
        <f>IF($Z13="","",INDEX(T_Task,$Z13))</f>
        <v/>
      </c>
      <c r="H13" s="154">
        <f>IF($Z13="","",INDEX(T_Due,$Z13))</f>
        <v/>
      </c>
      <c r="I13" s="155">
        <f>IF($Z13="","",INDEX(T_Eff,$Z13))</f>
        <v/>
      </c>
      <c r="K13" s="157">
        <f>IF($AA13="","",INDEX(T_ID,$AA13))</f>
        <v/>
      </c>
      <c r="L13" s="153">
        <f>IF($AA13="","",INDEX(T_Task,$AA13))</f>
        <v/>
      </c>
      <c r="M13" s="154">
        <f>IF($AA13="","",INDEX(T_Due,$AA13))</f>
        <v/>
      </c>
      <c r="N13" s="155">
        <f>IF($AA13="","",INDEX(T_Eff,$AA13))</f>
        <v/>
      </c>
      <c r="P13" s="158">
        <f>IF($AB13="","",INDEX(T_ID,$AB13))</f>
        <v/>
      </c>
      <c r="Q13" s="153">
        <f>IF($AB13="","",INDEX(T_Task,$AB13))</f>
        <v/>
      </c>
      <c r="R13" s="154">
        <f>IF($AB13="","",INDEX(T_Due,$AB13))</f>
        <v/>
      </c>
      <c r="S13" s="155">
        <f>IF($AB13="","",INDEX(T_Eff,$AB13))</f>
        <v/>
      </c>
      <c r="Y13">
        <f>IFERROR(MATCH(SMALL(T_Ariel,7),T_Ariel,0),"")</f>
        <v/>
      </c>
      <c r="Z13">
        <f>IFERROR(MATCH(SMALL(T_Rinat,7),T_Rinat,0),"")</f>
        <v/>
      </c>
      <c r="AA13">
        <f>IFERROR(MATCH(SMALL(T_Tamar,7),T_Tamar,0),"")</f>
        <v/>
      </c>
      <c r="AB13">
        <f>IFERROR(MATCH(SMALL(T_Other,7),T_Other,0),"")</f>
        <v/>
      </c>
    </row>
    <row r="14">
      <c r="A14" s="152">
        <f>IF($Y14="","",INDEX(T_ID,$Y14))</f>
        <v/>
      </c>
      <c r="B14" s="153">
        <f>IF($Y14="","",INDEX(T_Task,$Y14))</f>
        <v/>
      </c>
      <c r="C14" s="154">
        <f>IF($Y14="","",INDEX(T_Due,$Y14))</f>
        <v/>
      </c>
      <c r="D14" s="155">
        <f>IF($Y14="","",INDEX(T_Eff,$Y14))</f>
        <v/>
      </c>
      <c r="F14" s="156">
        <f>IF($Z14="","",INDEX(T_ID,$Z14))</f>
        <v/>
      </c>
      <c r="G14" s="153">
        <f>IF($Z14="","",INDEX(T_Task,$Z14))</f>
        <v/>
      </c>
      <c r="H14" s="154">
        <f>IF($Z14="","",INDEX(T_Due,$Z14))</f>
        <v/>
      </c>
      <c r="I14" s="155">
        <f>IF($Z14="","",INDEX(T_Eff,$Z14))</f>
        <v/>
      </c>
      <c r="K14" s="157">
        <f>IF($AA14="","",INDEX(T_ID,$AA14))</f>
        <v/>
      </c>
      <c r="L14" s="153">
        <f>IF($AA14="","",INDEX(T_Task,$AA14))</f>
        <v/>
      </c>
      <c r="M14" s="154">
        <f>IF($AA14="","",INDEX(T_Due,$AA14))</f>
        <v/>
      </c>
      <c r="N14" s="155">
        <f>IF($AA14="","",INDEX(T_Eff,$AA14))</f>
        <v/>
      </c>
      <c r="P14" s="158">
        <f>IF($AB14="","",INDEX(T_ID,$AB14))</f>
        <v/>
      </c>
      <c r="Q14" s="153">
        <f>IF($AB14="","",INDEX(T_Task,$AB14))</f>
        <v/>
      </c>
      <c r="R14" s="154">
        <f>IF($AB14="","",INDEX(T_Due,$AB14))</f>
        <v/>
      </c>
      <c r="S14" s="155">
        <f>IF($AB14="","",INDEX(T_Eff,$AB14))</f>
        <v/>
      </c>
      <c r="Y14">
        <f>IFERROR(MATCH(SMALL(T_Ariel,8),T_Ariel,0),"")</f>
        <v/>
      </c>
      <c r="Z14">
        <f>IFERROR(MATCH(SMALL(T_Rinat,8),T_Rinat,0),"")</f>
        <v/>
      </c>
      <c r="AA14">
        <f>IFERROR(MATCH(SMALL(T_Tamar,8),T_Tamar,0),"")</f>
        <v/>
      </c>
      <c r="AB14">
        <f>IFERROR(MATCH(SMALL(T_Other,8),T_Other,0),"")</f>
        <v/>
      </c>
    </row>
    <row r="15">
      <c r="A15" s="152">
        <f>IF($Y15="","",INDEX(T_ID,$Y15))</f>
        <v/>
      </c>
      <c r="B15" s="153">
        <f>IF($Y15="","",INDEX(T_Task,$Y15))</f>
        <v/>
      </c>
      <c r="C15" s="154">
        <f>IF($Y15="","",INDEX(T_Due,$Y15))</f>
        <v/>
      </c>
      <c r="D15" s="155">
        <f>IF($Y15="","",INDEX(T_Eff,$Y15))</f>
        <v/>
      </c>
      <c r="F15" s="156">
        <f>IF($Z15="","",INDEX(T_ID,$Z15))</f>
        <v/>
      </c>
      <c r="G15" s="153">
        <f>IF($Z15="","",INDEX(T_Task,$Z15))</f>
        <v/>
      </c>
      <c r="H15" s="154">
        <f>IF($Z15="","",INDEX(T_Due,$Z15))</f>
        <v/>
      </c>
      <c r="I15" s="155">
        <f>IF($Z15="","",INDEX(T_Eff,$Z15))</f>
        <v/>
      </c>
      <c r="K15" s="157">
        <f>IF($AA15="","",INDEX(T_ID,$AA15))</f>
        <v/>
      </c>
      <c r="L15" s="153">
        <f>IF($AA15="","",INDEX(T_Task,$AA15))</f>
        <v/>
      </c>
      <c r="M15" s="154">
        <f>IF($AA15="","",INDEX(T_Due,$AA15))</f>
        <v/>
      </c>
      <c r="N15" s="155">
        <f>IF($AA15="","",INDEX(T_Eff,$AA15))</f>
        <v/>
      </c>
      <c r="P15" s="158">
        <f>IF($AB15="","",INDEX(T_ID,$AB15))</f>
        <v/>
      </c>
      <c r="Q15" s="153">
        <f>IF($AB15="","",INDEX(T_Task,$AB15))</f>
        <v/>
      </c>
      <c r="R15" s="154">
        <f>IF($AB15="","",INDEX(T_Due,$AB15))</f>
        <v/>
      </c>
      <c r="S15" s="155">
        <f>IF($AB15="","",INDEX(T_Eff,$AB15))</f>
        <v/>
      </c>
      <c r="Y15">
        <f>IFERROR(MATCH(SMALL(T_Ariel,9),T_Ariel,0),"")</f>
        <v/>
      </c>
      <c r="Z15">
        <f>IFERROR(MATCH(SMALL(T_Rinat,9),T_Rinat,0),"")</f>
        <v/>
      </c>
      <c r="AA15">
        <f>IFERROR(MATCH(SMALL(T_Tamar,9),T_Tamar,0),"")</f>
        <v/>
      </c>
      <c r="AB15">
        <f>IFERROR(MATCH(SMALL(T_Other,9),T_Other,0),"")</f>
        <v/>
      </c>
    </row>
    <row r="16">
      <c r="A16" s="152">
        <f>IF($Y16="","",INDEX(T_ID,$Y16))</f>
        <v/>
      </c>
      <c r="B16" s="153">
        <f>IF($Y16="","",INDEX(T_Task,$Y16))</f>
        <v/>
      </c>
      <c r="C16" s="154">
        <f>IF($Y16="","",INDEX(T_Due,$Y16))</f>
        <v/>
      </c>
      <c r="D16" s="155">
        <f>IF($Y16="","",INDEX(T_Eff,$Y16))</f>
        <v/>
      </c>
      <c r="F16" s="156">
        <f>IF($Z16="","",INDEX(T_ID,$Z16))</f>
        <v/>
      </c>
      <c r="G16" s="153">
        <f>IF($Z16="","",INDEX(T_Task,$Z16))</f>
        <v/>
      </c>
      <c r="H16" s="154">
        <f>IF($Z16="","",INDEX(T_Due,$Z16))</f>
        <v/>
      </c>
      <c r="I16" s="155">
        <f>IF($Z16="","",INDEX(T_Eff,$Z16))</f>
        <v/>
      </c>
      <c r="K16" s="157">
        <f>IF($AA16="","",INDEX(T_ID,$AA16))</f>
        <v/>
      </c>
      <c r="L16" s="153">
        <f>IF($AA16="","",INDEX(T_Task,$AA16))</f>
        <v/>
      </c>
      <c r="M16" s="154">
        <f>IF($AA16="","",INDEX(T_Due,$AA16))</f>
        <v/>
      </c>
      <c r="N16" s="155">
        <f>IF($AA16="","",INDEX(T_Eff,$AA16))</f>
        <v/>
      </c>
      <c r="P16" s="158">
        <f>IF($AB16="","",INDEX(T_ID,$AB16))</f>
        <v/>
      </c>
      <c r="Q16" s="153">
        <f>IF($AB16="","",INDEX(T_Task,$AB16))</f>
        <v/>
      </c>
      <c r="R16" s="154">
        <f>IF($AB16="","",INDEX(T_Due,$AB16))</f>
        <v/>
      </c>
      <c r="S16" s="155">
        <f>IF($AB16="","",INDEX(T_Eff,$AB16))</f>
        <v/>
      </c>
      <c r="Y16">
        <f>IFERROR(MATCH(SMALL(T_Ariel,10),T_Ariel,0),"")</f>
        <v/>
      </c>
      <c r="Z16">
        <f>IFERROR(MATCH(SMALL(T_Rinat,10),T_Rinat,0),"")</f>
        <v/>
      </c>
      <c r="AA16">
        <f>IFERROR(MATCH(SMALL(T_Tamar,10),T_Tamar,0),"")</f>
        <v/>
      </c>
      <c r="AB16">
        <f>IFERROR(MATCH(SMALL(T_Other,10),T_Other,0),"")</f>
        <v/>
      </c>
    </row>
    <row r="17">
      <c r="A17" s="152">
        <f>IF($Y17="","",INDEX(T_ID,$Y17))</f>
        <v/>
      </c>
      <c r="B17" s="153">
        <f>IF($Y17="","",INDEX(T_Task,$Y17))</f>
        <v/>
      </c>
      <c r="C17" s="154">
        <f>IF($Y17="","",INDEX(T_Due,$Y17))</f>
        <v/>
      </c>
      <c r="D17" s="155">
        <f>IF($Y17="","",INDEX(T_Eff,$Y17))</f>
        <v/>
      </c>
      <c r="F17" s="156">
        <f>IF($Z17="","",INDEX(T_ID,$Z17))</f>
        <v/>
      </c>
      <c r="G17" s="153">
        <f>IF($Z17="","",INDEX(T_Task,$Z17))</f>
        <v/>
      </c>
      <c r="H17" s="154">
        <f>IF($Z17="","",INDEX(T_Due,$Z17))</f>
        <v/>
      </c>
      <c r="I17" s="155">
        <f>IF($Z17="","",INDEX(T_Eff,$Z17))</f>
        <v/>
      </c>
      <c r="K17" s="157">
        <f>IF($AA17="","",INDEX(T_ID,$AA17))</f>
        <v/>
      </c>
      <c r="L17" s="153">
        <f>IF($AA17="","",INDEX(T_Task,$AA17))</f>
        <v/>
      </c>
      <c r="M17" s="154">
        <f>IF($AA17="","",INDEX(T_Due,$AA17))</f>
        <v/>
      </c>
      <c r="N17" s="155">
        <f>IF($AA17="","",INDEX(T_Eff,$AA17))</f>
        <v/>
      </c>
      <c r="P17" s="158">
        <f>IF($AB17="","",INDEX(T_ID,$AB17))</f>
        <v/>
      </c>
      <c r="Q17" s="153">
        <f>IF($AB17="","",INDEX(T_Task,$AB17))</f>
        <v/>
      </c>
      <c r="R17" s="154">
        <f>IF($AB17="","",INDEX(T_Due,$AB17))</f>
        <v/>
      </c>
      <c r="S17" s="155">
        <f>IF($AB17="","",INDEX(T_Eff,$AB17))</f>
        <v/>
      </c>
      <c r="Y17">
        <f>IFERROR(MATCH(SMALL(T_Ariel,11),T_Ariel,0),"")</f>
        <v/>
      </c>
      <c r="Z17">
        <f>IFERROR(MATCH(SMALL(T_Rinat,11),T_Rinat,0),"")</f>
        <v/>
      </c>
      <c r="AA17">
        <f>IFERROR(MATCH(SMALL(T_Tamar,11),T_Tamar,0),"")</f>
        <v/>
      </c>
      <c r="AB17">
        <f>IFERROR(MATCH(SMALL(T_Other,11),T_Other,0),"")</f>
        <v/>
      </c>
    </row>
    <row r="18">
      <c r="A18" s="152">
        <f>IF($Y18="","",INDEX(T_ID,$Y18))</f>
        <v/>
      </c>
      <c r="B18" s="153">
        <f>IF($Y18="","",INDEX(T_Task,$Y18))</f>
        <v/>
      </c>
      <c r="C18" s="154">
        <f>IF($Y18="","",INDEX(T_Due,$Y18))</f>
        <v/>
      </c>
      <c r="D18" s="155">
        <f>IF($Y18="","",INDEX(T_Eff,$Y18))</f>
        <v/>
      </c>
      <c r="F18" s="156">
        <f>IF($Z18="","",INDEX(T_ID,$Z18))</f>
        <v/>
      </c>
      <c r="G18" s="153">
        <f>IF($Z18="","",INDEX(T_Task,$Z18))</f>
        <v/>
      </c>
      <c r="H18" s="154">
        <f>IF($Z18="","",INDEX(T_Due,$Z18))</f>
        <v/>
      </c>
      <c r="I18" s="155">
        <f>IF($Z18="","",INDEX(T_Eff,$Z18))</f>
        <v/>
      </c>
      <c r="K18" s="157">
        <f>IF($AA18="","",INDEX(T_ID,$AA18))</f>
        <v/>
      </c>
      <c r="L18" s="153">
        <f>IF($AA18="","",INDEX(T_Task,$AA18))</f>
        <v/>
      </c>
      <c r="M18" s="154">
        <f>IF($AA18="","",INDEX(T_Due,$AA18))</f>
        <v/>
      </c>
      <c r="N18" s="155">
        <f>IF($AA18="","",INDEX(T_Eff,$AA18))</f>
        <v/>
      </c>
      <c r="P18" s="158">
        <f>IF($AB18="","",INDEX(T_ID,$AB18))</f>
        <v/>
      </c>
      <c r="Q18" s="153">
        <f>IF($AB18="","",INDEX(T_Task,$AB18))</f>
        <v/>
      </c>
      <c r="R18" s="154">
        <f>IF($AB18="","",INDEX(T_Due,$AB18))</f>
        <v/>
      </c>
      <c r="S18" s="155">
        <f>IF($AB18="","",INDEX(T_Eff,$AB18))</f>
        <v/>
      </c>
      <c r="Y18">
        <f>IFERROR(MATCH(SMALL(T_Ariel,12),T_Ariel,0),"")</f>
        <v/>
      </c>
      <c r="Z18">
        <f>IFERROR(MATCH(SMALL(T_Rinat,12),T_Rinat,0),"")</f>
        <v/>
      </c>
      <c r="AA18">
        <f>IFERROR(MATCH(SMALL(T_Tamar,12),T_Tamar,0),"")</f>
        <v/>
      </c>
      <c r="AB18">
        <f>IFERROR(MATCH(SMALL(T_Other,12),T_Other,0),"")</f>
        <v/>
      </c>
    </row>
    <row r="19">
      <c r="A19" s="152">
        <f>IF($Y19="","",INDEX(T_ID,$Y19))</f>
        <v/>
      </c>
      <c r="B19" s="153">
        <f>IF($Y19="","",INDEX(T_Task,$Y19))</f>
        <v/>
      </c>
      <c r="C19" s="154">
        <f>IF($Y19="","",INDEX(T_Due,$Y19))</f>
        <v/>
      </c>
      <c r="D19" s="155">
        <f>IF($Y19="","",INDEX(T_Eff,$Y19))</f>
        <v/>
      </c>
      <c r="F19" s="156">
        <f>IF($Z19="","",INDEX(T_ID,$Z19))</f>
        <v/>
      </c>
      <c r="G19" s="153">
        <f>IF($Z19="","",INDEX(T_Task,$Z19))</f>
        <v/>
      </c>
      <c r="H19" s="154">
        <f>IF($Z19="","",INDEX(T_Due,$Z19))</f>
        <v/>
      </c>
      <c r="I19" s="155">
        <f>IF($Z19="","",INDEX(T_Eff,$Z19))</f>
        <v/>
      </c>
      <c r="K19" s="157">
        <f>IF($AA19="","",INDEX(T_ID,$AA19))</f>
        <v/>
      </c>
      <c r="L19" s="153">
        <f>IF($AA19="","",INDEX(T_Task,$AA19))</f>
        <v/>
      </c>
      <c r="M19" s="154">
        <f>IF($AA19="","",INDEX(T_Due,$AA19))</f>
        <v/>
      </c>
      <c r="N19" s="155">
        <f>IF($AA19="","",INDEX(T_Eff,$AA19))</f>
        <v/>
      </c>
      <c r="P19" s="158">
        <f>IF($AB19="","",INDEX(T_ID,$AB19))</f>
        <v/>
      </c>
      <c r="Q19" s="153">
        <f>IF($AB19="","",INDEX(T_Task,$AB19))</f>
        <v/>
      </c>
      <c r="R19" s="154">
        <f>IF($AB19="","",INDEX(T_Due,$AB19))</f>
        <v/>
      </c>
      <c r="S19" s="155">
        <f>IF($AB19="","",INDEX(T_Eff,$AB19))</f>
        <v/>
      </c>
      <c r="Y19">
        <f>IFERROR(MATCH(SMALL(T_Ariel,13),T_Ariel,0),"")</f>
        <v/>
      </c>
      <c r="Z19">
        <f>IFERROR(MATCH(SMALL(T_Rinat,13),T_Rinat,0),"")</f>
        <v/>
      </c>
      <c r="AA19">
        <f>IFERROR(MATCH(SMALL(T_Tamar,13),T_Tamar,0),"")</f>
        <v/>
      </c>
      <c r="AB19">
        <f>IFERROR(MATCH(SMALL(T_Other,13),T_Other,0),"")</f>
        <v/>
      </c>
    </row>
    <row r="20">
      <c r="A20" s="152">
        <f>IF($Y20="","",INDEX(T_ID,$Y20))</f>
        <v/>
      </c>
      <c r="B20" s="153">
        <f>IF($Y20="","",INDEX(T_Task,$Y20))</f>
        <v/>
      </c>
      <c r="C20" s="154">
        <f>IF($Y20="","",INDEX(T_Due,$Y20))</f>
        <v/>
      </c>
      <c r="D20" s="155">
        <f>IF($Y20="","",INDEX(T_Eff,$Y20))</f>
        <v/>
      </c>
      <c r="F20" s="156">
        <f>IF($Z20="","",INDEX(T_ID,$Z20))</f>
        <v/>
      </c>
      <c r="G20" s="153">
        <f>IF($Z20="","",INDEX(T_Task,$Z20))</f>
        <v/>
      </c>
      <c r="H20" s="154">
        <f>IF($Z20="","",INDEX(T_Due,$Z20))</f>
        <v/>
      </c>
      <c r="I20" s="155">
        <f>IF($Z20="","",INDEX(T_Eff,$Z20))</f>
        <v/>
      </c>
      <c r="K20" s="157">
        <f>IF($AA20="","",INDEX(T_ID,$AA20))</f>
        <v/>
      </c>
      <c r="L20" s="153">
        <f>IF($AA20="","",INDEX(T_Task,$AA20))</f>
        <v/>
      </c>
      <c r="M20" s="154">
        <f>IF($AA20="","",INDEX(T_Due,$AA20))</f>
        <v/>
      </c>
      <c r="N20" s="155">
        <f>IF($AA20="","",INDEX(T_Eff,$AA20))</f>
        <v/>
      </c>
      <c r="P20" s="158">
        <f>IF($AB20="","",INDEX(T_ID,$AB20))</f>
        <v/>
      </c>
      <c r="Q20" s="153">
        <f>IF($AB20="","",INDEX(T_Task,$AB20))</f>
        <v/>
      </c>
      <c r="R20" s="154">
        <f>IF($AB20="","",INDEX(T_Due,$AB20))</f>
        <v/>
      </c>
      <c r="S20" s="155">
        <f>IF($AB20="","",INDEX(T_Eff,$AB20))</f>
        <v/>
      </c>
      <c r="Y20">
        <f>IFERROR(MATCH(SMALL(T_Ariel,14),T_Ariel,0),"")</f>
        <v/>
      </c>
      <c r="Z20">
        <f>IFERROR(MATCH(SMALL(T_Rinat,14),T_Rinat,0),"")</f>
        <v/>
      </c>
      <c r="AA20">
        <f>IFERROR(MATCH(SMALL(T_Tamar,14),T_Tamar,0),"")</f>
        <v/>
      </c>
      <c r="AB20">
        <f>IFERROR(MATCH(SMALL(T_Other,14),T_Other,0),"")</f>
        <v/>
      </c>
    </row>
    <row r="21">
      <c r="A21" s="152">
        <f>IF($Y21="","",INDEX(T_ID,$Y21))</f>
        <v/>
      </c>
      <c r="B21" s="153">
        <f>IF($Y21="","",INDEX(T_Task,$Y21))</f>
        <v/>
      </c>
      <c r="C21" s="154">
        <f>IF($Y21="","",INDEX(T_Due,$Y21))</f>
        <v/>
      </c>
      <c r="D21" s="155">
        <f>IF($Y21="","",INDEX(T_Eff,$Y21))</f>
        <v/>
      </c>
      <c r="F21" s="156">
        <f>IF($Z21="","",INDEX(T_ID,$Z21))</f>
        <v/>
      </c>
      <c r="G21" s="153">
        <f>IF($Z21="","",INDEX(T_Task,$Z21))</f>
        <v/>
      </c>
      <c r="H21" s="154">
        <f>IF($Z21="","",INDEX(T_Due,$Z21))</f>
        <v/>
      </c>
      <c r="I21" s="155">
        <f>IF($Z21="","",INDEX(T_Eff,$Z21))</f>
        <v/>
      </c>
      <c r="K21" s="157">
        <f>IF($AA21="","",INDEX(T_ID,$AA21))</f>
        <v/>
      </c>
      <c r="L21" s="153">
        <f>IF($AA21="","",INDEX(T_Task,$AA21))</f>
        <v/>
      </c>
      <c r="M21" s="154">
        <f>IF($AA21="","",INDEX(T_Due,$AA21))</f>
        <v/>
      </c>
      <c r="N21" s="155">
        <f>IF($AA21="","",INDEX(T_Eff,$AA21))</f>
        <v/>
      </c>
      <c r="P21" s="158">
        <f>IF($AB21="","",INDEX(T_ID,$AB21))</f>
        <v/>
      </c>
      <c r="Q21" s="153">
        <f>IF($AB21="","",INDEX(T_Task,$AB21))</f>
        <v/>
      </c>
      <c r="R21" s="154">
        <f>IF($AB21="","",INDEX(T_Due,$AB21))</f>
        <v/>
      </c>
      <c r="S21" s="155">
        <f>IF($AB21="","",INDEX(T_Eff,$AB21))</f>
        <v/>
      </c>
      <c r="Y21">
        <f>IFERROR(MATCH(SMALL(T_Ariel,15),T_Ariel,0),"")</f>
        <v/>
      </c>
      <c r="Z21">
        <f>IFERROR(MATCH(SMALL(T_Rinat,15),T_Rinat,0),"")</f>
        <v/>
      </c>
      <c r="AA21">
        <f>IFERROR(MATCH(SMALL(T_Tamar,15),T_Tamar,0),"")</f>
        <v/>
      </c>
      <c r="AB21">
        <f>IFERROR(MATCH(SMALL(T_Other,15),T_Other,0),"")</f>
        <v/>
      </c>
    </row>
    <row r="22">
      <c r="A22" s="152">
        <f>IF($Y22="","",INDEX(T_ID,$Y22))</f>
        <v/>
      </c>
      <c r="B22" s="153">
        <f>IF($Y22="","",INDEX(T_Task,$Y22))</f>
        <v/>
      </c>
      <c r="C22" s="154">
        <f>IF($Y22="","",INDEX(T_Due,$Y22))</f>
        <v/>
      </c>
      <c r="D22" s="155">
        <f>IF($Y22="","",INDEX(T_Eff,$Y22))</f>
        <v/>
      </c>
      <c r="F22" s="156">
        <f>IF($Z22="","",INDEX(T_ID,$Z22))</f>
        <v/>
      </c>
      <c r="G22" s="153">
        <f>IF($Z22="","",INDEX(T_Task,$Z22))</f>
        <v/>
      </c>
      <c r="H22" s="154">
        <f>IF($Z22="","",INDEX(T_Due,$Z22))</f>
        <v/>
      </c>
      <c r="I22" s="155">
        <f>IF($Z22="","",INDEX(T_Eff,$Z22))</f>
        <v/>
      </c>
      <c r="K22" s="157">
        <f>IF($AA22="","",INDEX(T_ID,$AA22))</f>
        <v/>
      </c>
      <c r="L22" s="153">
        <f>IF($AA22="","",INDEX(T_Task,$AA22))</f>
        <v/>
      </c>
      <c r="M22" s="154">
        <f>IF($AA22="","",INDEX(T_Due,$AA22))</f>
        <v/>
      </c>
      <c r="N22" s="155">
        <f>IF($AA22="","",INDEX(T_Eff,$AA22))</f>
        <v/>
      </c>
      <c r="P22" s="158">
        <f>IF($AB22="","",INDEX(T_ID,$AB22))</f>
        <v/>
      </c>
      <c r="Q22" s="153">
        <f>IF($AB22="","",INDEX(T_Task,$AB22))</f>
        <v/>
      </c>
      <c r="R22" s="154">
        <f>IF($AB22="","",INDEX(T_Due,$AB22))</f>
        <v/>
      </c>
      <c r="S22" s="155">
        <f>IF($AB22="","",INDEX(T_Eff,$AB22))</f>
        <v/>
      </c>
      <c r="Y22">
        <f>IFERROR(MATCH(SMALL(T_Ariel,16),T_Ariel,0),"")</f>
        <v/>
      </c>
      <c r="Z22">
        <f>IFERROR(MATCH(SMALL(T_Rinat,16),T_Rinat,0),"")</f>
        <v/>
      </c>
      <c r="AA22">
        <f>IFERROR(MATCH(SMALL(T_Tamar,16),T_Tamar,0),"")</f>
        <v/>
      </c>
      <c r="AB22">
        <f>IFERROR(MATCH(SMALL(T_Other,16),T_Other,0),"")</f>
        <v/>
      </c>
    </row>
    <row r="23">
      <c r="A23" s="152">
        <f>IF($Y23="","",INDEX(T_ID,$Y23))</f>
        <v/>
      </c>
      <c r="B23" s="153">
        <f>IF($Y23="","",INDEX(T_Task,$Y23))</f>
        <v/>
      </c>
      <c r="C23" s="154">
        <f>IF($Y23="","",INDEX(T_Due,$Y23))</f>
        <v/>
      </c>
      <c r="D23" s="155">
        <f>IF($Y23="","",INDEX(T_Eff,$Y23))</f>
        <v/>
      </c>
      <c r="F23" s="156">
        <f>IF($Z23="","",INDEX(T_ID,$Z23))</f>
        <v/>
      </c>
      <c r="G23" s="153">
        <f>IF($Z23="","",INDEX(T_Task,$Z23))</f>
        <v/>
      </c>
      <c r="H23" s="154">
        <f>IF($Z23="","",INDEX(T_Due,$Z23))</f>
        <v/>
      </c>
      <c r="I23" s="155">
        <f>IF($Z23="","",INDEX(T_Eff,$Z23))</f>
        <v/>
      </c>
      <c r="K23" s="157">
        <f>IF($AA23="","",INDEX(T_ID,$AA23))</f>
        <v/>
      </c>
      <c r="L23" s="153">
        <f>IF($AA23="","",INDEX(T_Task,$AA23))</f>
        <v/>
      </c>
      <c r="M23" s="154">
        <f>IF($AA23="","",INDEX(T_Due,$AA23))</f>
        <v/>
      </c>
      <c r="N23" s="155">
        <f>IF($AA23="","",INDEX(T_Eff,$AA23))</f>
        <v/>
      </c>
      <c r="P23" s="158">
        <f>IF($AB23="","",INDEX(T_ID,$AB23))</f>
        <v/>
      </c>
      <c r="Q23" s="153">
        <f>IF($AB23="","",INDEX(T_Task,$AB23))</f>
        <v/>
      </c>
      <c r="R23" s="154">
        <f>IF($AB23="","",INDEX(T_Due,$AB23))</f>
        <v/>
      </c>
      <c r="S23" s="155">
        <f>IF($AB23="","",INDEX(T_Eff,$AB23))</f>
        <v/>
      </c>
      <c r="Y23">
        <f>IFERROR(MATCH(SMALL(T_Ariel,17),T_Ariel,0),"")</f>
        <v/>
      </c>
      <c r="Z23">
        <f>IFERROR(MATCH(SMALL(T_Rinat,17),T_Rinat,0),"")</f>
        <v/>
      </c>
      <c r="AA23">
        <f>IFERROR(MATCH(SMALL(T_Tamar,17),T_Tamar,0),"")</f>
        <v/>
      </c>
      <c r="AB23">
        <f>IFERROR(MATCH(SMALL(T_Other,17),T_Other,0),"")</f>
        <v/>
      </c>
    </row>
    <row r="24">
      <c r="A24" s="152">
        <f>IF($Y24="","",INDEX(T_ID,$Y24))</f>
        <v/>
      </c>
      <c r="B24" s="153">
        <f>IF($Y24="","",INDEX(T_Task,$Y24))</f>
        <v/>
      </c>
      <c r="C24" s="154">
        <f>IF($Y24="","",INDEX(T_Due,$Y24))</f>
        <v/>
      </c>
      <c r="D24" s="155">
        <f>IF($Y24="","",INDEX(T_Eff,$Y24))</f>
        <v/>
      </c>
      <c r="F24" s="156">
        <f>IF($Z24="","",INDEX(T_ID,$Z24))</f>
        <v/>
      </c>
      <c r="G24" s="153">
        <f>IF($Z24="","",INDEX(T_Task,$Z24))</f>
        <v/>
      </c>
      <c r="H24" s="154">
        <f>IF($Z24="","",INDEX(T_Due,$Z24))</f>
        <v/>
      </c>
      <c r="I24" s="155">
        <f>IF($Z24="","",INDEX(T_Eff,$Z24))</f>
        <v/>
      </c>
      <c r="K24" s="157">
        <f>IF($AA24="","",INDEX(T_ID,$AA24))</f>
        <v/>
      </c>
      <c r="L24" s="153">
        <f>IF($AA24="","",INDEX(T_Task,$AA24))</f>
        <v/>
      </c>
      <c r="M24" s="154">
        <f>IF($AA24="","",INDEX(T_Due,$AA24))</f>
        <v/>
      </c>
      <c r="N24" s="155">
        <f>IF($AA24="","",INDEX(T_Eff,$AA24))</f>
        <v/>
      </c>
      <c r="P24" s="158">
        <f>IF($AB24="","",INDEX(T_ID,$AB24))</f>
        <v/>
      </c>
      <c r="Q24" s="153">
        <f>IF($AB24="","",INDEX(T_Task,$AB24))</f>
        <v/>
      </c>
      <c r="R24" s="154">
        <f>IF($AB24="","",INDEX(T_Due,$AB24))</f>
        <v/>
      </c>
      <c r="S24" s="155">
        <f>IF($AB24="","",INDEX(T_Eff,$AB24))</f>
        <v/>
      </c>
      <c r="Y24">
        <f>IFERROR(MATCH(SMALL(T_Ariel,18),T_Ariel,0),"")</f>
        <v/>
      </c>
      <c r="Z24">
        <f>IFERROR(MATCH(SMALL(T_Rinat,18),T_Rinat,0),"")</f>
        <v/>
      </c>
      <c r="AA24">
        <f>IFERROR(MATCH(SMALL(T_Tamar,18),T_Tamar,0),"")</f>
        <v/>
      </c>
      <c r="AB24">
        <f>IFERROR(MATCH(SMALL(T_Other,18),T_Other,0),"")</f>
        <v/>
      </c>
    </row>
    <row r="25">
      <c r="A25" s="152">
        <f>IF($Y25="","",INDEX(T_ID,$Y25))</f>
        <v/>
      </c>
      <c r="B25" s="153">
        <f>IF($Y25="","",INDEX(T_Task,$Y25))</f>
        <v/>
      </c>
      <c r="C25" s="154">
        <f>IF($Y25="","",INDEX(T_Due,$Y25))</f>
        <v/>
      </c>
      <c r="D25" s="155">
        <f>IF($Y25="","",INDEX(T_Eff,$Y25))</f>
        <v/>
      </c>
      <c r="F25" s="156">
        <f>IF($Z25="","",INDEX(T_ID,$Z25))</f>
        <v/>
      </c>
      <c r="G25" s="153">
        <f>IF($Z25="","",INDEX(T_Task,$Z25))</f>
        <v/>
      </c>
      <c r="H25" s="154">
        <f>IF($Z25="","",INDEX(T_Due,$Z25))</f>
        <v/>
      </c>
      <c r="I25" s="155">
        <f>IF($Z25="","",INDEX(T_Eff,$Z25))</f>
        <v/>
      </c>
      <c r="K25" s="157">
        <f>IF($AA25="","",INDEX(T_ID,$AA25))</f>
        <v/>
      </c>
      <c r="L25" s="153">
        <f>IF($AA25="","",INDEX(T_Task,$AA25))</f>
        <v/>
      </c>
      <c r="M25" s="154">
        <f>IF($AA25="","",INDEX(T_Due,$AA25))</f>
        <v/>
      </c>
      <c r="N25" s="155">
        <f>IF($AA25="","",INDEX(T_Eff,$AA25))</f>
        <v/>
      </c>
      <c r="P25" s="158">
        <f>IF($AB25="","",INDEX(T_ID,$AB25))</f>
        <v/>
      </c>
      <c r="Q25" s="153">
        <f>IF($AB25="","",INDEX(T_Task,$AB25))</f>
        <v/>
      </c>
      <c r="R25" s="154">
        <f>IF($AB25="","",INDEX(T_Due,$AB25))</f>
        <v/>
      </c>
      <c r="S25" s="155">
        <f>IF($AB25="","",INDEX(T_Eff,$AB25))</f>
        <v/>
      </c>
      <c r="Y25">
        <f>IFERROR(MATCH(SMALL(T_Ariel,19),T_Ariel,0),"")</f>
        <v/>
      </c>
      <c r="Z25">
        <f>IFERROR(MATCH(SMALL(T_Rinat,19),T_Rinat,0),"")</f>
        <v/>
      </c>
      <c r="AA25">
        <f>IFERROR(MATCH(SMALL(T_Tamar,19),T_Tamar,0),"")</f>
        <v/>
      </c>
      <c r="AB25">
        <f>IFERROR(MATCH(SMALL(T_Other,19),T_Other,0),"")</f>
        <v/>
      </c>
    </row>
    <row r="26">
      <c r="A26" s="152">
        <f>IF($Y26="","",INDEX(T_ID,$Y26))</f>
        <v/>
      </c>
      <c r="B26" s="153">
        <f>IF($Y26="","",INDEX(T_Task,$Y26))</f>
        <v/>
      </c>
      <c r="C26" s="154">
        <f>IF($Y26="","",INDEX(T_Due,$Y26))</f>
        <v/>
      </c>
      <c r="D26" s="155">
        <f>IF($Y26="","",INDEX(T_Eff,$Y26))</f>
        <v/>
      </c>
      <c r="F26" s="156">
        <f>IF($Z26="","",INDEX(T_ID,$Z26))</f>
        <v/>
      </c>
      <c r="G26" s="153">
        <f>IF($Z26="","",INDEX(T_Task,$Z26))</f>
        <v/>
      </c>
      <c r="H26" s="154">
        <f>IF($Z26="","",INDEX(T_Due,$Z26))</f>
        <v/>
      </c>
      <c r="I26" s="155">
        <f>IF($Z26="","",INDEX(T_Eff,$Z26))</f>
        <v/>
      </c>
      <c r="K26" s="157">
        <f>IF($AA26="","",INDEX(T_ID,$AA26))</f>
        <v/>
      </c>
      <c r="L26" s="153">
        <f>IF($AA26="","",INDEX(T_Task,$AA26))</f>
        <v/>
      </c>
      <c r="M26" s="154">
        <f>IF($AA26="","",INDEX(T_Due,$AA26))</f>
        <v/>
      </c>
      <c r="N26" s="155">
        <f>IF($AA26="","",INDEX(T_Eff,$AA26))</f>
        <v/>
      </c>
      <c r="P26" s="158">
        <f>IF($AB26="","",INDEX(T_ID,$AB26))</f>
        <v/>
      </c>
      <c r="Q26" s="153">
        <f>IF($AB26="","",INDEX(T_Task,$AB26))</f>
        <v/>
      </c>
      <c r="R26" s="154">
        <f>IF($AB26="","",INDEX(T_Due,$AB26))</f>
        <v/>
      </c>
      <c r="S26" s="155">
        <f>IF($AB26="","",INDEX(T_Eff,$AB26))</f>
        <v/>
      </c>
      <c r="Y26">
        <f>IFERROR(MATCH(SMALL(T_Ariel,20),T_Ariel,0),"")</f>
        <v/>
      </c>
      <c r="Z26">
        <f>IFERROR(MATCH(SMALL(T_Rinat,20),T_Rinat,0),"")</f>
        <v/>
      </c>
      <c r="AA26">
        <f>IFERROR(MATCH(SMALL(T_Tamar,20),T_Tamar,0),"")</f>
        <v/>
      </c>
      <c r="AB26">
        <f>IFERROR(MATCH(SMALL(T_Other,20),T_Other,0),"")</f>
        <v/>
      </c>
    </row>
    <row r="27">
      <c r="A27" s="152">
        <f>IF($Y27="","",INDEX(T_ID,$Y27))</f>
        <v/>
      </c>
      <c r="B27" s="153">
        <f>IF($Y27="","",INDEX(T_Task,$Y27))</f>
        <v/>
      </c>
      <c r="C27" s="154">
        <f>IF($Y27="","",INDEX(T_Due,$Y27))</f>
        <v/>
      </c>
      <c r="D27" s="155">
        <f>IF($Y27="","",INDEX(T_Eff,$Y27))</f>
        <v/>
      </c>
      <c r="F27" s="156">
        <f>IF($Z27="","",INDEX(T_ID,$Z27))</f>
        <v/>
      </c>
      <c r="G27" s="153">
        <f>IF($Z27="","",INDEX(T_Task,$Z27))</f>
        <v/>
      </c>
      <c r="H27" s="154">
        <f>IF($Z27="","",INDEX(T_Due,$Z27))</f>
        <v/>
      </c>
      <c r="I27" s="155">
        <f>IF($Z27="","",INDEX(T_Eff,$Z27))</f>
        <v/>
      </c>
      <c r="K27" s="157">
        <f>IF($AA27="","",INDEX(T_ID,$AA27))</f>
        <v/>
      </c>
      <c r="L27" s="153">
        <f>IF($AA27="","",INDEX(T_Task,$AA27))</f>
        <v/>
      </c>
      <c r="M27" s="154">
        <f>IF($AA27="","",INDEX(T_Due,$AA27))</f>
        <v/>
      </c>
      <c r="N27" s="155">
        <f>IF($AA27="","",INDEX(T_Eff,$AA27))</f>
        <v/>
      </c>
      <c r="P27" s="158">
        <f>IF($AB27="","",INDEX(T_ID,$AB27))</f>
        <v/>
      </c>
      <c r="Q27" s="153">
        <f>IF($AB27="","",INDEX(T_Task,$AB27))</f>
        <v/>
      </c>
      <c r="R27" s="154">
        <f>IF($AB27="","",INDEX(T_Due,$AB27))</f>
        <v/>
      </c>
      <c r="S27" s="155">
        <f>IF($AB27="","",INDEX(T_Eff,$AB27))</f>
        <v/>
      </c>
      <c r="Y27">
        <f>IFERROR(MATCH(SMALL(T_Ariel,21),T_Ariel,0),"")</f>
        <v/>
      </c>
      <c r="Z27">
        <f>IFERROR(MATCH(SMALL(T_Rinat,21),T_Rinat,0),"")</f>
        <v/>
      </c>
      <c r="AA27">
        <f>IFERROR(MATCH(SMALL(T_Tamar,21),T_Tamar,0),"")</f>
        <v/>
      </c>
      <c r="AB27">
        <f>IFERROR(MATCH(SMALL(T_Other,21),T_Other,0),"")</f>
        <v/>
      </c>
    </row>
    <row r="28">
      <c r="A28" s="152">
        <f>IF($Y28="","",INDEX(T_ID,$Y28))</f>
        <v/>
      </c>
      <c r="B28" s="153">
        <f>IF($Y28="","",INDEX(T_Task,$Y28))</f>
        <v/>
      </c>
      <c r="C28" s="154">
        <f>IF($Y28="","",INDEX(T_Due,$Y28))</f>
        <v/>
      </c>
      <c r="D28" s="155">
        <f>IF($Y28="","",INDEX(T_Eff,$Y28))</f>
        <v/>
      </c>
      <c r="F28" s="156">
        <f>IF($Z28="","",INDEX(T_ID,$Z28))</f>
        <v/>
      </c>
      <c r="G28" s="153">
        <f>IF($Z28="","",INDEX(T_Task,$Z28))</f>
        <v/>
      </c>
      <c r="H28" s="154">
        <f>IF($Z28="","",INDEX(T_Due,$Z28))</f>
        <v/>
      </c>
      <c r="I28" s="155">
        <f>IF($Z28="","",INDEX(T_Eff,$Z28))</f>
        <v/>
      </c>
      <c r="K28" s="157">
        <f>IF($AA28="","",INDEX(T_ID,$AA28))</f>
        <v/>
      </c>
      <c r="L28" s="153">
        <f>IF($AA28="","",INDEX(T_Task,$AA28))</f>
        <v/>
      </c>
      <c r="M28" s="154">
        <f>IF($AA28="","",INDEX(T_Due,$AA28))</f>
        <v/>
      </c>
      <c r="N28" s="155">
        <f>IF($AA28="","",INDEX(T_Eff,$AA28))</f>
        <v/>
      </c>
      <c r="P28" s="158">
        <f>IF($AB28="","",INDEX(T_ID,$AB28))</f>
        <v/>
      </c>
      <c r="Q28" s="153">
        <f>IF($AB28="","",INDEX(T_Task,$AB28))</f>
        <v/>
      </c>
      <c r="R28" s="154">
        <f>IF($AB28="","",INDEX(T_Due,$AB28))</f>
        <v/>
      </c>
      <c r="S28" s="155">
        <f>IF($AB28="","",INDEX(T_Eff,$AB28))</f>
        <v/>
      </c>
      <c r="Y28">
        <f>IFERROR(MATCH(SMALL(T_Ariel,22),T_Ariel,0),"")</f>
        <v/>
      </c>
      <c r="Z28">
        <f>IFERROR(MATCH(SMALL(T_Rinat,22),T_Rinat,0),"")</f>
        <v/>
      </c>
      <c r="AA28">
        <f>IFERROR(MATCH(SMALL(T_Tamar,22),T_Tamar,0),"")</f>
        <v/>
      </c>
      <c r="AB28">
        <f>IFERROR(MATCH(SMALL(T_Other,22),T_Other,0),"")</f>
        <v/>
      </c>
    </row>
    <row r="29">
      <c r="A29" s="152">
        <f>IF($Y29="","",INDEX(T_ID,$Y29))</f>
        <v/>
      </c>
      <c r="B29" s="153">
        <f>IF($Y29="","",INDEX(T_Task,$Y29))</f>
        <v/>
      </c>
      <c r="C29" s="154">
        <f>IF($Y29="","",INDEX(T_Due,$Y29))</f>
        <v/>
      </c>
      <c r="D29" s="155">
        <f>IF($Y29="","",INDEX(T_Eff,$Y29))</f>
        <v/>
      </c>
      <c r="F29" s="156">
        <f>IF($Z29="","",INDEX(T_ID,$Z29))</f>
        <v/>
      </c>
      <c r="G29" s="153">
        <f>IF($Z29="","",INDEX(T_Task,$Z29))</f>
        <v/>
      </c>
      <c r="H29" s="154">
        <f>IF($Z29="","",INDEX(T_Due,$Z29))</f>
        <v/>
      </c>
      <c r="I29" s="155">
        <f>IF($Z29="","",INDEX(T_Eff,$Z29))</f>
        <v/>
      </c>
      <c r="K29" s="157">
        <f>IF($AA29="","",INDEX(T_ID,$AA29))</f>
        <v/>
      </c>
      <c r="L29" s="153">
        <f>IF($AA29="","",INDEX(T_Task,$AA29))</f>
        <v/>
      </c>
      <c r="M29" s="154">
        <f>IF($AA29="","",INDEX(T_Due,$AA29))</f>
        <v/>
      </c>
      <c r="N29" s="155">
        <f>IF($AA29="","",INDEX(T_Eff,$AA29))</f>
        <v/>
      </c>
      <c r="P29" s="158">
        <f>IF($AB29="","",INDEX(T_ID,$AB29))</f>
        <v/>
      </c>
      <c r="Q29" s="153">
        <f>IF($AB29="","",INDEX(T_Task,$AB29))</f>
        <v/>
      </c>
      <c r="R29" s="154">
        <f>IF($AB29="","",INDEX(T_Due,$AB29))</f>
        <v/>
      </c>
      <c r="S29" s="155">
        <f>IF($AB29="","",INDEX(T_Eff,$AB29))</f>
        <v/>
      </c>
      <c r="Y29">
        <f>IFERROR(MATCH(SMALL(T_Ariel,23),T_Ariel,0),"")</f>
        <v/>
      </c>
      <c r="Z29">
        <f>IFERROR(MATCH(SMALL(T_Rinat,23),T_Rinat,0),"")</f>
        <v/>
      </c>
      <c r="AA29">
        <f>IFERROR(MATCH(SMALL(T_Tamar,23),T_Tamar,0),"")</f>
        <v/>
      </c>
      <c r="AB29">
        <f>IFERROR(MATCH(SMALL(T_Other,23),T_Other,0),"")</f>
        <v/>
      </c>
    </row>
    <row r="30">
      <c r="A30" s="152">
        <f>IF($Y30="","",INDEX(T_ID,$Y30))</f>
        <v/>
      </c>
      <c r="B30" s="153">
        <f>IF($Y30="","",INDEX(T_Task,$Y30))</f>
        <v/>
      </c>
      <c r="C30" s="154">
        <f>IF($Y30="","",INDEX(T_Due,$Y30))</f>
        <v/>
      </c>
      <c r="D30" s="155">
        <f>IF($Y30="","",INDEX(T_Eff,$Y30))</f>
        <v/>
      </c>
      <c r="F30" s="156">
        <f>IF($Z30="","",INDEX(T_ID,$Z30))</f>
        <v/>
      </c>
      <c r="G30" s="153">
        <f>IF($Z30="","",INDEX(T_Task,$Z30))</f>
        <v/>
      </c>
      <c r="H30" s="154">
        <f>IF($Z30="","",INDEX(T_Due,$Z30))</f>
        <v/>
      </c>
      <c r="I30" s="155">
        <f>IF($Z30="","",INDEX(T_Eff,$Z30))</f>
        <v/>
      </c>
      <c r="K30" s="157">
        <f>IF($AA30="","",INDEX(T_ID,$AA30))</f>
        <v/>
      </c>
      <c r="L30" s="153">
        <f>IF($AA30="","",INDEX(T_Task,$AA30))</f>
        <v/>
      </c>
      <c r="M30" s="154">
        <f>IF($AA30="","",INDEX(T_Due,$AA30))</f>
        <v/>
      </c>
      <c r="N30" s="155">
        <f>IF($AA30="","",INDEX(T_Eff,$AA30))</f>
        <v/>
      </c>
      <c r="P30" s="158">
        <f>IF($AB30="","",INDEX(T_ID,$AB30))</f>
        <v/>
      </c>
      <c r="Q30" s="153">
        <f>IF($AB30="","",INDEX(T_Task,$AB30))</f>
        <v/>
      </c>
      <c r="R30" s="154">
        <f>IF($AB30="","",INDEX(T_Due,$AB30))</f>
        <v/>
      </c>
      <c r="S30" s="155">
        <f>IF($AB30="","",INDEX(T_Eff,$AB30))</f>
        <v/>
      </c>
      <c r="Y30">
        <f>IFERROR(MATCH(SMALL(T_Ariel,24),T_Ariel,0),"")</f>
        <v/>
      </c>
      <c r="Z30">
        <f>IFERROR(MATCH(SMALL(T_Rinat,24),T_Rinat,0),"")</f>
        <v/>
      </c>
      <c r="AA30">
        <f>IFERROR(MATCH(SMALL(T_Tamar,24),T_Tamar,0),"")</f>
        <v/>
      </c>
      <c r="AB30">
        <f>IFERROR(MATCH(SMALL(T_Other,24),T_Other,0),"")</f>
        <v/>
      </c>
    </row>
    <row r="31">
      <c r="A31" s="152">
        <f>IF($Y31="","",INDEX(T_ID,$Y31))</f>
        <v/>
      </c>
      <c r="B31" s="153">
        <f>IF($Y31="","",INDEX(T_Task,$Y31))</f>
        <v/>
      </c>
      <c r="C31" s="154">
        <f>IF($Y31="","",INDEX(T_Due,$Y31))</f>
        <v/>
      </c>
      <c r="D31" s="155">
        <f>IF($Y31="","",INDEX(T_Eff,$Y31))</f>
        <v/>
      </c>
      <c r="F31" s="156">
        <f>IF($Z31="","",INDEX(T_ID,$Z31))</f>
        <v/>
      </c>
      <c r="G31" s="153">
        <f>IF($Z31="","",INDEX(T_Task,$Z31))</f>
        <v/>
      </c>
      <c r="H31" s="154">
        <f>IF($Z31="","",INDEX(T_Due,$Z31))</f>
        <v/>
      </c>
      <c r="I31" s="155">
        <f>IF($Z31="","",INDEX(T_Eff,$Z31))</f>
        <v/>
      </c>
      <c r="K31" s="157">
        <f>IF($AA31="","",INDEX(T_ID,$AA31))</f>
        <v/>
      </c>
      <c r="L31" s="153">
        <f>IF($AA31="","",INDEX(T_Task,$AA31))</f>
        <v/>
      </c>
      <c r="M31" s="154">
        <f>IF($AA31="","",INDEX(T_Due,$AA31))</f>
        <v/>
      </c>
      <c r="N31" s="155">
        <f>IF($AA31="","",INDEX(T_Eff,$AA31))</f>
        <v/>
      </c>
      <c r="P31" s="158">
        <f>IF($AB31="","",INDEX(T_ID,$AB31))</f>
        <v/>
      </c>
      <c r="Q31" s="153">
        <f>IF($AB31="","",INDEX(T_Task,$AB31))</f>
        <v/>
      </c>
      <c r="R31" s="154">
        <f>IF($AB31="","",INDEX(T_Due,$AB31))</f>
        <v/>
      </c>
      <c r="S31" s="155">
        <f>IF($AB31="","",INDEX(T_Eff,$AB31))</f>
        <v/>
      </c>
      <c r="Y31">
        <f>IFERROR(MATCH(SMALL(T_Ariel,25),T_Ariel,0),"")</f>
        <v/>
      </c>
      <c r="Z31">
        <f>IFERROR(MATCH(SMALL(T_Rinat,25),T_Rinat,0),"")</f>
        <v/>
      </c>
      <c r="AA31">
        <f>IFERROR(MATCH(SMALL(T_Tamar,25),T_Tamar,0),"")</f>
        <v/>
      </c>
      <c r="AB31">
        <f>IFERROR(MATCH(SMALL(T_Other,25),T_Other,0),"")</f>
        <v/>
      </c>
    </row>
    <row r="32">
      <c r="A32" s="152">
        <f>IF($Y32="","",INDEX(T_ID,$Y32))</f>
        <v/>
      </c>
      <c r="B32" s="153">
        <f>IF($Y32="","",INDEX(T_Task,$Y32))</f>
        <v/>
      </c>
      <c r="C32" s="154">
        <f>IF($Y32="","",INDEX(T_Due,$Y32))</f>
        <v/>
      </c>
      <c r="D32" s="155">
        <f>IF($Y32="","",INDEX(T_Eff,$Y32))</f>
        <v/>
      </c>
      <c r="F32" s="156">
        <f>IF($Z32="","",INDEX(T_ID,$Z32))</f>
        <v/>
      </c>
      <c r="G32" s="153">
        <f>IF($Z32="","",INDEX(T_Task,$Z32))</f>
        <v/>
      </c>
      <c r="H32" s="154">
        <f>IF($Z32="","",INDEX(T_Due,$Z32))</f>
        <v/>
      </c>
      <c r="I32" s="155">
        <f>IF($Z32="","",INDEX(T_Eff,$Z32))</f>
        <v/>
      </c>
      <c r="K32" s="157">
        <f>IF($AA32="","",INDEX(T_ID,$AA32))</f>
        <v/>
      </c>
      <c r="L32" s="153">
        <f>IF($AA32="","",INDEX(T_Task,$AA32))</f>
        <v/>
      </c>
      <c r="M32" s="154">
        <f>IF($AA32="","",INDEX(T_Due,$AA32))</f>
        <v/>
      </c>
      <c r="N32" s="155">
        <f>IF($AA32="","",INDEX(T_Eff,$AA32))</f>
        <v/>
      </c>
      <c r="P32" s="158">
        <f>IF($AB32="","",INDEX(T_ID,$AB32))</f>
        <v/>
      </c>
      <c r="Q32" s="153">
        <f>IF($AB32="","",INDEX(T_Task,$AB32))</f>
        <v/>
      </c>
      <c r="R32" s="154">
        <f>IF($AB32="","",INDEX(T_Due,$AB32))</f>
        <v/>
      </c>
      <c r="S32" s="155">
        <f>IF($AB32="","",INDEX(T_Eff,$AB32))</f>
        <v/>
      </c>
      <c r="Y32">
        <f>IFERROR(MATCH(SMALL(T_Ariel,26),T_Ariel,0),"")</f>
        <v/>
      </c>
      <c r="Z32">
        <f>IFERROR(MATCH(SMALL(T_Rinat,26),T_Rinat,0),"")</f>
        <v/>
      </c>
      <c r="AA32">
        <f>IFERROR(MATCH(SMALL(T_Tamar,26),T_Tamar,0),"")</f>
        <v/>
      </c>
      <c r="AB32">
        <f>IFERROR(MATCH(SMALL(T_Other,26),T_Other,0),"")</f>
        <v/>
      </c>
    </row>
    <row r="33">
      <c r="A33" s="152">
        <f>IF($Y33="","",INDEX(T_ID,$Y33))</f>
        <v/>
      </c>
      <c r="B33" s="153">
        <f>IF($Y33="","",INDEX(T_Task,$Y33))</f>
        <v/>
      </c>
      <c r="C33" s="154">
        <f>IF($Y33="","",INDEX(T_Due,$Y33))</f>
        <v/>
      </c>
      <c r="D33" s="155">
        <f>IF($Y33="","",INDEX(T_Eff,$Y33))</f>
        <v/>
      </c>
      <c r="F33" s="156">
        <f>IF($Z33="","",INDEX(T_ID,$Z33))</f>
        <v/>
      </c>
      <c r="G33" s="153">
        <f>IF($Z33="","",INDEX(T_Task,$Z33))</f>
        <v/>
      </c>
      <c r="H33" s="154">
        <f>IF($Z33="","",INDEX(T_Due,$Z33))</f>
        <v/>
      </c>
      <c r="I33" s="155">
        <f>IF($Z33="","",INDEX(T_Eff,$Z33))</f>
        <v/>
      </c>
      <c r="K33" s="157">
        <f>IF($AA33="","",INDEX(T_ID,$AA33))</f>
        <v/>
      </c>
      <c r="L33" s="153">
        <f>IF($AA33="","",INDEX(T_Task,$AA33))</f>
        <v/>
      </c>
      <c r="M33" s="154">
        <f>IF($AA33="","",INDEX(T_Due,$AA33))</f>
        <v/>
      </c>
      <c r="N33" s="155">
        <f>IF($AA33="","",INDEX(T_Eff,$AA33))</f>
        <v/>
      </c>
      <c r="P33" s="158">
        <f>IF($AB33="","",INDEX(T_ID,$AB33))</f>
        <v/>
      </c>
      <c r="Q33" s="153">
        <f>IF($AB33="","",INDEX(T_Task,$AB33))</f>
        <v/>
      </c>
      <c r="R33" s="154">
        <f>IF($AB33="","",INDEX(T_Due,$AB33))</f>
        <v/>
      </c>
      <c r="S33" s="155">
        <f>IF($AB33="","",INDEX(T_Eff,$AB33))</f>
        <v/>
      </c>
      <c r="Y33">
        <f>IFERROR(MATCH(SMALL(T_Ariel,27),T_Ariel,0),"")</f>
        <v/>
      </c>
      <c r="Z33">
        <f>IFERROR(MATCH(SMALL(T_Rinat,27),T_Rinat,0),"")</f>
        <v/>
      </c>
      <c r="AA33">
        <f>IFERROR(MATCH(SMALL(T_Tamar,27),T_Tamar,0),"")</f>
        <v/>
      </c>
      <c r="AB33">
        <f>IFERROR(MATCH(SMALL(T_Other,27),T_Other,0),"")</f>
        <v/>
      </c>
    </row>
    <row r="34">
      <c r="A34" s="152">
        <f>IF($Y34="","",INDEX(T_ID,$Y34))</f>
        <v/>
      </c>
      <c r="B34" s="153">
        <f>IF($Y34="","",INDEX(T_Task,$Y34))</f>
        <v/>
      </c>
      <c r="C34" s="154">
        <f>IF($Y34="","",INDEX(T_Due,$Y34))</f>
        <v/>
      </c>
      <c r="D34" s="155">
        <f>IF($Y34="","",INDEX(T_Eff,$Y34))</f>
        <v/>
      </c>
      <c r="F34" s="156">
        <f>IF($Z34="","",INDEX(T_ID,$Z34))</f>
        <v/>
      </c>
      <c r="G34" s="153">
        <f>IF($Z34="","",INDEX(T_Task,$Z34))</f>
        <v/>
      </c>
      <c r="H34" s="154">
        <f>IF($Z34="","",INDEX(T_Due,$Z34))</f>
        <v/>
      </c>
      <c r="I34" s="155">
        <f>IF($Z34="","",INDEX(T_Eff,$Z34))</f>
        <v/>
      </c>
      <c r="K34" s="157">
        <f>IF($AA34="","",INDEX(T_ID,$AA34))</f>
        <v/>
      </c>
      <c r="L34" s="153">
        <f>IF($AA34="","",INDEX(T_Task,$AA34))</f>
        <v/>
      </c>
      <c r="M34" s="154">
        <f>IF($AA34="","",INDEX(T_Due,$AA34))</f>
        <v/>
      </c>
      <c r="N34" s="155">
        <f>IF($AA34="","",INDEX(T_Eff,$AA34))</f>
        <v/>
      </c>
      <c r="P34" s="158">
        <f>IF($AB34="","",INDEX(T_ID,$AB34))</f>
        <v/>
      </c>
      <c r="Q34" s="153">
        <f>IF($AB34="","",INDEX(T_Task,$AB34))</f>
        <v/>
      </c>
      <c r="R34" s="154">
        <f>IF($AB34="","",INDEX(T_Due,$AB34))</f>
        <v/>
      </c>
      <c r="S34" s="155">
        <f>IF($AB34="","",INDEX(T_Eff,$AB34))</f>
        <v/>
      </c>
      <c r="Y34">
        <f>IFERROR(MATCH(SMALL(T_Ariel,28),T_Ariel,0),"")</f>
        <v/>
      </c>
      <c r="Z34">
        <f>IFERROR(MATCH(SMALL(T_Rinat,28),T_Rinat,0),"")</f>
        <v/>
      </c>
      <c r="AA34">
        <f>IFERROR(MATCH(SMALL(T_Tamar,28),T_Tamar,0),"")</f>
        <v/>
      </c>
      <c r="AB34">
        <f>IFERROR(MATCH(SMALL(T_Other,28),T_Other,0),"")</f>
        <v/>
      </c>
    </row>
    <row r="35">
      <c r="A35" s="152">
        <f>IF($Y35="","",INDEX(T_ID,$Y35))</f>
        <v/>
      </c>
      <c r="B35" s="153">
        <f>IF($Y35="","",INDEX(T_Task,$Y35))</f>
        <v/>
      </c>
      <c r="C35" s="154">
        <f>IF($Y35="","",INDEX(T_Due,$Y35))</f>
        <v/>
      </c>
      <c r="D35" s="155">
        <f>IF($Y35="","",INDEX(T_Eff,$Y35))</f>
        <v/>
      </c>
      <c r="F35" s="156">
        <f>IF($Z35="","",INDEX(T_ID,$Z35))</f>
        <v/>
      </c>
      <c r="G35" s="153">
        <f>IF($Z35="","",INDEX(T_Task,$Z35))</f>
        <v/>
      </c>
      <c r="H35" s="154">
        <f>IF($Z35="","",INDEX(T_Due,$Z35))</f>
        <v/>
      </c>
      <c r="I35" s="155">
        <f>IF($Z35="","",INDEX(T_Eff,$Z35))</f>
        <v/>
      </c>
      <c r="K35" s="157">
        <f>IF($AA35="","",INDEX(T_ID,$AA35))</f>
        <v/>
      </c>
      <c r="L35" s="153">
        <f>IF($AA35="","",INDEX(T_Task,$AA35))</f>
        <v/>
      </c>
      <c r="M35" s="154">
        <f>IF($AA35="","",INDEX(T_Due,$AA35))</f>
        <v/>
      </c>
      <c r="N35" s="155">
        <f>IF($AA35="","",INDEX(T_Eff,$AA35))</f>
        <v/>
      </c>
      <c r="P35" s="158">
        <f>IF($AB35="","",INDEX(T_ID,$AB35))</f>
        <v/>
      </c>
      <c r="Q35" s="153">
        <f>IF($AB35="","",INDEX(T_Task,$AB35))</f>
        <v/>
      </c>
      <c r="R35" s="154">
        <f>IF($AB35="","",INDEX(T_Due,$AB35))</f>
        <v/>
      </c>
      <c r="S35" s="155">
        <f>IF($AB35="","",INDEX(T_Eff,$AB35))</f>
        <v/>
      </c>
      <c r="Y35">
        <f>IFERROR(MATCH(SMALL(T_Ariel,29),T_Ariel,0),"")</f>
        <v/>
      </c>
      <c r="Z35">
        <f>IFERROR(MATCH(SMALL(T_Rinat,29),T_Rinat,0),"")</f>
        <v/>
      </c>
      <c r="AA35">
        <f>IFERROR(MATCH(SMALL(T_Tamar,29),T_Tamar,0),"")</f>
        <v/>
      </c>
      <c r="AB35">
        <f>IFERROR(MATCH(SMALL(T_Other,29),T_Other,0),"")</f>
        <v/>
      </c>
    </row>
    <row r="36">
      <c r="A36" s="152">
        <f>IF($Y36="","",INDEX(T_ID,$Y36))</f>
        <v/>
      </c>
      <c r="B36" s="153">
        <f>IF($Y36="","",INDEX(T_Task,$Y36))</f>
        <v/>
      </c>
      <c r="C36" s="154">
        <f>IF($Y36="","",INDEX(T_Due,$Y36))</f>
        <v/>
      </c>
      <c r="D36" s="155">
        <f>IF($Y36="","",INDEX(T_Eff,$Y36))</f>
        <v/>
      </c>
      <c r="F36" s="156">
        <f>IF($Z36="","",INDEX(T_ID,$Z36))</f>
        <v/>
      </c>
      <c r="G36" s="153">
        <f>IF($Z36="","",INDEX(T_Task,$Z36))</f>
        <v/>
      </c>
      <c r="H36" s="154">
        <f>IF($Z36="","",INDEX(T_Due,$Z36))</f>
        <v/>
      </c>
      <c r="I36" s="155">
        <f>IF($Z36="","",INDEX(T_Eff,$Z36))</f>
        <v/>
      </c>
      <c r="K36" s="157">
        <f>IF($AA36="","",INDEX(T_ID,$AA36))</f>
        <v/>
      </c>
      <c r="L36" s="153">
        <f>IF($AA36="","",INDEX(T_Task,$AA36))</f>
        <v/>
      </c>
      <c r="M36" s="154">
        <f>IF($AA36="","",INDEX(T_Due,$AA36))</f>
        <v/>
      </c>
      <c r="N36" s="155">
        <f>IF($AA36="","",INDEX(T_Eff,$AA36))</f>
        <v/>
      </c>
      <c r="P36" s="158">
        <f>IF($AB36="","",INDEX(T_ID,$AB36))</f>
        <v/>
      </c>
      <c r="Q36" s="153">
        <f>IF($AB36="","",INDEX(T_Task,$AB36))</f>
        <v/>
      </c>
      <c r="R36" s="154">
        <f>IF($AB36="","",INDEX(T_Due,$AB36))</f>
        <v/>
      </c>
      <c r="S36" s="155">
        <f>IF($AB36="","",INDEX(T_Eff,$AB36))</f>
        <v/>
      </c>
      <c r="Y36">
        <f>IFERROR(MATCH(SMALL(T_Ariel,30),T_Ariel,0),"")</f>
        <v/>
      </c>
      <c r="Z36">
        <f>IFERROR(MATCH(SMALL(T_Rinat,30),T_Rinat,0),"")</f>
        <v/>
      </c>
      <c r="AA36">
        <f>IFERROR(MATCH(SMALL(T_Tamar,30),T_Tamar,0),"")</f>
        <v/>
      </c>
      <c r="AB36">
        <f>IFERROR(MATCH(SMALL(T_Other,30),T_Other,0),"")</f>
        <v/>
      </c>
    </row>
    <row r="37">
      <c r="A37" s="152">
        <f>IF($Y37="","",INDEX(T_ID,$Y37))</f>
        <v/>
      </c>
      <c r="B37" s="153">
        <f>IF($Y37="","",INDEX(T_Task,$Y37))</f>
        <v/>
      </c>
      <c r="C37" s="154">
        <f>IF($Y37="","",INDEX(T_Due,$Y37))</f>
        <v/>
      </c>
      <c r="D37" s="155">
        <f>IF($Y37="","",INDEX(T_Eff,$Y37))</f>
        <v/>
      </c>
      <c r="F37" s="156">
        <f>IF($Z37="","",INDEX(T_ID,$Z37))</f>
        <v/>
      </c>
      <c r="G37" s="153">
        <f>IF($Z37="","",INDEX(T_Task,$Z37))</f>
        <v/>
      </c>
      <c r="H37" s="154">
        <f>IF($Z37="","",INDEX(T_Due,$Z37))</f>
        <v/>
      </c>
      <c r="I37" s="155">
        <f>IF($Z37="","",INDEX(T_Eff,$Z37))</f>
        <v/>
      </c>
      <c r="K37" s="157">
        <f>IF($AA37="","",INDEX(T_ID,$AA37))</f>
        <v/>
      </c>
      <c r="L37" s="153">
        <f>IF($AA37="","",INDEX(T_Task,$AA37))</f>
        <v/>
      </c>
      <c r="M37" s="154">
        <f>IF($AA37="","",INDEX(T_Due,$AA37))</f>
        <v/>
      </c>
      <c r="N37" s="155">
        <f>IF($AA37="","",INDEX(T_Eff,$AA37))</f>
        <v/>
      </c>
      <c r="P37" s="158">
        <f>IF($AB37="","",INDEX(T_ID,$AB37))</f>
        <v/>
      </c>
      <c r="Q37" s="153">
        <f>IF($AB37="","",INDEX(T_Task,$AB37))</f>
        <v/>
      </c>
      <c r="R37" s="154">
        <f>IF($AB37="","",INDEX(T_Due,$AB37))</f>
        <v/>
      </c>
      <c r="S37" s="155">
        <f>IF($AB37="","",INDEX(T_Eff,$AB37))</f>
        <v/>
      </c>
      <c r="Y37">
        <f>IFERROR(MATCH(SMALL(T_Ariel,31),T_Ariel,0),"")</f>
        <v/>
      </c>
      <c r="Z37">
        <f>IFERROR(MATCH(SMALL(T_Rinat,31),T_Rinat,0),"")</f>
        <v/>
      </c>
      <c r="AA37">
        <f>IFERROR(MATCH(SMALL(T_Tamar,31),T_Tamar,0),"")</f>
        <v/>
      </c>
      <c r="AB37">
        <f>IFERROR(MATCH(SMALL(T_Other,31),T_Other,0),"")</f>
        <v/>
      </c>
    </row>
    <row r="38">
      <c r="A38" s="152">
        <f>IF($Y38="","",INDEX(T_ID,$Y38))</f>
        <v/>
      </c>
      <c r="B38" s="153">
        <f>IF($Y38="","",INDEX(T_Task,$Y38))</f>
        <v/>
      </c>
      <c r="C38" s="154">
        <f>IF($Y38="","",INDEX(T_Due,$Y38))</f>
        <v/>
      </c>
      <c r="D38" s="155">
        <f>IF($Y38="","",INDEX(T_Eff,$Y38))</f>
        <v/>
      </c>
      <c r="F38" s="156">
        <f>IF($Z38="","",INDEX(T_ID,$Z38))</f>
        <v/>
      </c>
      <c r="G38" s="153">
        <f>IF($Z38="","",INDEX(T_Task,$Z38))</f>
        <v/>
      </c>
      <c r="H38" s="154">
        <f>IF($Z38="","",INDEX(T_Due,$Z38))</f>
        <v/>
      </c>
      <c r="I38" s="155">
        <f>IF($Z38="","",INDEX(T_Eff,$Z38))</f>
        <v/>
      </c>
      <c r="K38" s="157">
        <f>IF($AA38="","",INDEX(T_ID,$AA38))</f>
        <v/>
      </c>
      <c r="L38" s="153">
        <f>IF($AA38="","",INDEX(T_Task,$AA38))</f>
        <v/>
      </c>
      <c r="M38" s="154">
        <f>IF($AA38="","",INDEX(T_Due,$AA38))</f>
        <v/>
      </c>
      <c r="N38" s="155">
        <f>IF($AA38="","",INDEX(T_Eff,$AA38))</f>
        <v/>
      </c>
      <c r="P38" s="158">
        <f>IF($AB38="","",INDEX(T_ID,$AB38))</f>
        <v/>
      </c>
      <c r="Q38" s="153">
        <f>IF($AB38="","",INDEX(T_Task,$AB38))</f>
        <v/>
      </c>
      <c r="R38" s="154">
        <f>IF($AB38="","",INDEX(T_Due,$AB38))</f>
        <v/>
      </c>
      <c r="S38" s="155">
        <f>IF($AB38="","",INDEX(T_Eff,$AB38))</f>
        <v/>
      </c>
      <c r="Y38">
        <f>IFERROR(MATCH(SMALL(T_Ariel,32),T_Ariel,0),"")</f>
        <v/>
      </c>
      <c r="Z38">
        <f>IFERROR(MATCH(SMALL(T_Rinat,32),T_Rinat,0),"")</f>
        <v/>
      </c>
      <c r="AA38">
        <f>IFERROR(MATCH(SMALL(T_Tamar,32),T_Tamar,0),"")</f>
        <v/>
      </c>
      <c r="AB38">
        <f>IFERROR(MATCH(SMALL(T_Other,32),T_Other,0),"")</f>
        <v/>
      </c>
    </row>
    <row r="39">
      <c r="A39" s="152">
        <f>IF($Y39="","",INDEX(T_ID,$Y39))</f>
        <v/>
      </c>
      <c r="B39" s="153">
        <f>IF($Y39="","",INDEX(T_Task,$Y39))</f>
        <v/>
      </c>
      <c r="C39" s="154">
        <f>IF($Y39="","",INDEX(T_Due,$Y39))</f>
        <v/>
      </c>
      <c r="D39" s="155">
        <f>IF($Y39="","",INDEX(T_Eff,$Y39))</f>
        <v/>
      </c>
      <c r="F39" s="156">
        <f>IF($Z39="","",INDEX(T_ID,$Z39))</f>
        <v/>
      </c>
      <c r="G39" s="153">
        <f>IF($Z39="","",INDEX(T_Task,$Z39))</f>
        <v/>
      </c>
      <c r="H39" s="154">
        <f>IF($Z39="","",INDEX(T_Due,$Z39))</f>
        <v/>
      </c>
      <c r="I39" s="155">
        <f>IF($Z39="","",INDEX(T_Eff,$Z39))</f>
        <v/>
      </c>
      <c r="K39" s="157">
        <f>IF($AA39="","",INDEX(T_ID,$AA39))</f>
        <v/>
      </c>
      <c r="L39" s="153">
        <f>IF($AA39="","",INDEX(T_Task,$AA39))</f>
        <v/>
      </c>
      <c r="M39" s="154">
        <f>IF($AA39="","",INDEX(T_Due,$AA39))</f>
        <v/>
      </c>
      <c r="N39" s="155">
        <f>IF($AA39="","",INDEX(T_Eff,$AA39))</f>
        <v/>
      </c>
      <c r="P39" s="158">
        <f>IF($AB39="","",INDEX(T_ID,$AB39))</f>
        <v/>
      </c>
      <c r="Q39" s="153">
        <f>IF($AB39="","",INDEX(T_Task,$AB39))</f>
        <v/>
      </c>
      <c r="R39" s="154">
        <f>IF($AB39="","",INDEX(T_Due,$AB39))</f>
        <v/>
      </c>
      <c r="S39" s="155">
        <f>IF($AB39="","",INDEX(T_Eff,$AB39))</f>
        <v/>
      </c>
      <c r="Y39">
        <f>IFERROR(MATCH(SMALL(T_Ariel,33),T_Ariel,0),"")</f>
        <v/>
      </c>
      <c r="Z39">
        <f>IFERROR(MATCH(SMALL(T_Rinat,33),T_Rinat,0),"")</f>
        <v/>
      </c>
      <c r="AA39">
        <f>IFERROR(MATCH(SMALL(T_Tamar,33),T_Tamar,0),"")</f>
        <v/>
      </c>
      <c r="AB39">
        <f>IFERROR(MATCH(SMALL(T_Other,33),T_Other,0),"")</f>
        <v/>
      </c>
    </row>
    <row r="40">
      <c r="A40" s="152">
        <f>IF($Y40="","",INDEX(T_ID,$Y40))</f>
        <v/>
      </c>
      <c r="B40" s="153">
        <f>IF($Y40="","",INDEX(T_Task,$Y40))</f>
        <v/>
      </c>
      <c r="C40" s="154">
        <f>IF($Y40="","",INDEX(T_Due,$Y40))</f>
        <v/>
      </c>
      <c r="D40" s="155">
        <f>IF($Y40="","",INDEX(T_Eff,$Y40))</f>
        <v/>
      </c>
      <c r="F40" s="156">
        <f>IF($Z40="","",INDEX(T_ID,$Z40))</f>
        <v/>
      </c>
      <c r="G40" s="153">
        <f>IF($Z40="","",INDEX(T_Task,$Z40))</f>
        <v/>
      </c>
      <c r="H40" s="154">
        <f>IF($Z40="","",INDEX(T_Due,$Z40))</f>
        <v/>
      </c>
      <c r="I40" s="155">
        <f>IF($Z40="","",INDEX(T_Eff,$Z40))</f>
        <v/>
      </c>
      <c r="K40" s="157">
        <f>IF($AA40="","",INDEX(T_ID,$AA40))</f>
        <v/>
      </c>
      <c r="L40" s="153">
        <f>IF($AA40="","",INDEX(T_Task,$AA40))</f>
        <v/>
      </c>
      <c r="M40" s="154">
        <f>IF($AA40="","",INDEX(T_Due,$AA40))</f>
        <v/>
      </c>
      <c r="N40" s="155">
        <f>IF($AA40="","",INDEX(T_Eff,$AA40))</f>
        <v/>
      </c>
      <c r="P40" s="158">
        <f>IF($AB40="","",INDEX(T_ID,$AB40))</f>
        <v/>
      </c>
      <c r="Q40" s="153">
        <f>IF($AB40="","",INDEX(T_Task,$AB40))</f>
        <v/>
      </c>
      <c r="R40" s="154">
        <f>IF($AB40="","",INDEX(T_Due,$AB40))</f>
        <v/>
      </c>
      <c r="S40" s="155">
        <f>IF($AB40="","",INDEX(T_Eff,$AB40))</f>
        <v/>
      </c>
      <c r="Y40">
        <f>IFERROR(MATCH(SMALL(T_Ariel,34),T_Ariel,0),"")</f>
        <v/>
      </c>
      <c r="Z40">
        <f>IFERROR(MATCH(SMALL(T_Rinat,34),T_Rinat,0),"")</f>
        <v/>
      </c>
      <c r="AA40">
        <f>IFERROR(MATCH(SMALL(T_Tamar,34),T_Tamar,0),"")</f>
        <v/>
      </c>
      <c r="AB40">
        <f>IFERROR(MATCH(SMALL(T_Other,34),T_Other,0),"")</f>
        <v/>
      </c>
    </row>
    <row r="41">
      <c r="A41" s="152">
        <f>IF($Y41="","",INDEX(T_ID,$Y41))</f>
        <v/>
      </c>
      <c r="B41" s="153">
        <f>IF($Y41="","",INDEX(T_Task,$Y41))</f>
        <v/>
      </c>
      <c r="C41" s="154">
        <f>IF($Y41="","",INDEX(T_Due,$Y41))</f>
        <v/>
      </c>
      <c r="D41" s="155">
        <f>IF($Y41="","",INDEX(T_Eff,$Y41))</f>
        <v/>
      </c>
      <c r="F41" s="156">
        <f>IF($Z41="","",INDEX(T_ID,$Z41))</f>
        <v/>
      </c>
      <c r="G41" s="153">
        <f>IF($Z41="","",INDEX(T_Task,$Z41))</f>
        <v/>
      </c>
      <c r="H41" s="154">
        <f>IF($Z41="","",INDEX(T_Due,$Z41))</f>
        <v/>
      </c>
      <c r="I41" s="155">
        <f>IF($Z41="","",INDEX(T_Eff,$Z41))</f>
        <v/>
      </c>
      <c r="K41" s="157">
        <f>IF($AA41="","",INDEX(T_ID,$AA41))</f>
        <v/>
      </c>
      <c r="L41" s="153">
        <f>IF($AA41="","",INDEX(T_Task,$AA41))</f>
        <v/>
      </c>
      <c r="M41" s="154">
        <f>IF($AA41="","",INDEX(T_Due,$AA41))</f>
        <v/>
      </c>
      <c r="N41" s="155">
        <f>IF($AA41="","",INDEX(T_Eff,$AA41))</f>
        <v/>
      </c>
      <c r="P41" s="158">
        <f>IF($AB41="","",INDEX(T_ID,$AB41))</f>
        <v/>
      </c>
      <c r="Q41" s="153">
        <f>IF($AB41="","",INDEX(T_Task,$AB41))</f>
        <v/>
      </c>
      <c r="R41" s="154">
        <f>IF($AB41="","",INDEX(T_Due,$AB41))</f>
        <v/>
      </c>
      <c r="S41" s="155">
        <f>IF($AB41="","",INDEX(T_Eff,$AB41))</f>
        <v/>
      </c>
      <c r="Y41">
        <f>IFERROR(MATCH(SMALL(T_Ariel,35),T_Ariel,0),"")</f>
        <v/>
      </c>
      <c r="Z41">
        <f>IFERROR(MATCH(SMALL(T_Rinat,35),T_Rinat,0),"")</f>
        <v/>
      </c>
      <c r="AA41">
        <f>IFERROR(MATCH(SMALL(T_Tamar,35),T_Tamar,0),"")</f>
        <v/>
      </c>
      <c r="AB41">
        <f>IFERROR(MATCH(SMALL(T_Other,35),T_Other,0),"")</f>
        <v/>
      </c>
    </row>
    <row r="42">
      <c r="A42" s="152">
        <f>IF($Y42="","",INDEX(T_ID,$Y42))</f>
        <v/>
      </c>
      <c r="B42" s="153">
        <f>IF($Y42="","",INDEX(T_Task,$Y42))</f>
        <v/>
      </c>
      <c r="C42" s="154">
        <f>IF($Y42="","",INDEX(T_Due,$Y42))</f>
        <v/>
      </c>
      <c r="D42" s="155">
        <f>IF($Y42="","",INDEX(T_Eff,$Y42))</f>
        <v/>
      </c>
      <c r="F42" s="156">
        <f>IF($Z42="","",INDEX(T_ID,$Z42))</f>
        <v/>
      </c>
      <c r="G42" s="153">
        <f>IF($Z42="","",INDEX(T_Task,$Z42))</f>
        <v/>
      </c>
      <c r="H42" s="154">
        <f>IF($Z42="","",INDEX(T_Due,$Z42))</f>
        <v/>
      </c>
      <c r="I42" s="155">
        <f>IF($Z42="","",INDEX(T_Eff,$Z42))</f>
        <v/>
      </c>
      <c r="K42" s="157">
        <f>IF($AA42="","",INDEX(T_ID,$AA42))</f>
        <v/>
      </c>
      <c r="L42" s="153">
        <f>IF($AA42="","",INDEX(T_Task,$AA42))</f>
        <v/>
      </c>
      <c r="M42" s="154">
        <f>IF($AA42="","",INDEX(T_Due,$AA42))</f>
        <v/>
      </c>
      <c r="N42" s="155">
        <f>IF($AA42="","",INDEX(T_Eff,$AA42))</f>
        <v/>
      </c>
      <c r="P42" s="158">
        <f>IF($AB42="","",INDEX(T_ID,$AB42))</f>
        <v/>
      </c>
      <c r="Q42" s="153">
        <f>IF($AB42="","",INDEX(T_Task,$AB42))</f>
        <v/>
      </c>
      <c r="R42" s="154">
        <f>IF($AB42="","",INDEX(T_Due,$AB42))</f>
        <v/>
      </c>
      <c r="S42" s="155">
        <f>IF($AB42="","",INDEX(T_Eff,$AB42))</f>
        <v/>
      </c>
      <c r="Y42">
        <f>IFERROR(MATCH(SMALL(T_Ariel,36),T_Ariel,0),"")</f>
        <v/>
      </c>
      <c r="Z42">
        <f>IFERROR(MATCH(SMALL(T_Rinat,36),T_Rinat,0),"")</f>
        <v/>
      </c>
      <c r="AA42">
        <f>IFERROR(MATCH(SMALL(T_Tamar,36),T_Tamar,0),"")</f>
        <v/>
      </c>
      <c r="AB42">
        <f>IFERROR(MATCH(SMALL(T_Other,36),T_Other,0),"")</f>
        <v/>
      </c>
    </row>
    <row r="43">
      <c r="A43" s="152">
        <f>IF($Y43="","",INDEX(T_ID,$Y43))</f>
        <v/>
      </c>
      <c r="B43" s="153">
        <f>IF($Y43="","",INDEX(T_Task,$Y43))</f>
        <v/>
      </c>
      <c r="C43" s="154">
        <f>IF($Y43="","",INDEX(T_Due,$Y43))</f>
        <v/>
      </c>
      <c r="D43" s="155">
        <f>IF($Y43="","",INDEX(T_Eff,$Y43))</f>
        <v/>
      </c>
      <c r="F43" s="156">
        <f>IF($Z43="","",INDEX(T_ID,$Z43))</f>
        <v/>
      </c>
      <c r="G43" s="153">
        <f>IF($Z43="","",INDEX(T_Task,$Z43))</f>
        <v/>
      </c>
      <c r="H43" s="154">
        <f>IF($Z43="","",INDEX(T_Due,$Z43))</f>
        <v/>
      </c>
      <c r="I43" s="155">
        <f>IF($Z43="","",INDEX(T_Eff,$Z43))</f>
        <v/>
      </c>
      <c r="K43" s="157">
        <f>IF($AA43="","",INDEX(T_ID,$AA43))</f>
        <v/>
      </c>
      <c r="L43" s="153">
        <f>IF($AA43="","",INDEX(T_Task,$AA43))</f>
        <v/>
      </c>
      <c r="M43" s="154">
        <f>IF($AA43="","",INDEX(T_Due,$AA43))</f>
        <v/>
      </c>
      <c r="N43" s="155">
        <f>IF($AA43="","",INDEX(T_Eff,$AA43))</f>
        <v/>
      </c>
      <c r="P43" s="158">
        <f>IF($AB43="","",INDEX(T_ID,$AB43))</f>
        <v/>
      </c>
      <c r="Q43" s="153">
        <f>IF($AB43="","",INDEX(T_Task,$AB43))</f>
        <v/>
      </c>
      <c r="R43" s="154">
        <f>IF($AB43="","",INDEX(T_Due,$AB43))</f>
        <v/>
      </c>
      <c r="S43" s="155">
        <f>IF($AB43="","",INDEX(T_Eff,$AB43))</f>
        <v/>
      </c>
      <c r="Y43">
        <f>IFERROR(MATCH(SMALL(T_Ariel,37),T_Ariel,0),"")</f>
        <v/>
      </c>
      <c r="Z43">
        <f>IFERROR(MATCH(SMALL(T_Rinat,37),T_Rinat,0),"")</f>
        <v/>
      </c>
      <c r="AA43">
        <f>IFERROR(MATCH(SMALL(T_Tamar,37),T_Tamar,0),"")</f>
        <v/>
      </c>
      <c r="AB43">
        <f>IFERROR(MATCH(SMALL(T_Other,37),T_Other,0),"")</f>
        <v/>
      </c>
    </row>
    <row r="44">
      <c r="A44" s="152">
        <f>IF($Y44="","",INDEX(T_ID,$Y44))</f>
        <v/>
      </c>
      <c r="B44" s="153">
        <f>IF($Y44="","",INDEX(T_Task,$Y44))</f>
        <v/>
      </c>
      <c r="C44" s="154">
        <f>IF($Y44="","",INDEX(T_Due,$Y44))</f>
        <v/>
      </c>
      <c r="D44" s="155">
        <f>IF($Y44="","",INDEX(T_Eff,$Y44))</f>
        <v/>
      </c>
      <c r="F44" s="156">
        <f>IF($Z44="","",INDEX(T_ID,$Z44))</f>
        <v/>
      </c>
      <c r="G44" s="153">
        <f>IF($Z44="","",INDEX(T_Task,$Z44))</f>
        <v/>
      </c>
      <c r="H44" s="154">
        <f>IF($Z44="","",INDEX(T_Due,$Z44))</f>
        <v/>
      </c>
      <c r="I44" s="155">
        <f>IF($Z44="","",INDEX(T_Eff,$Z44))</f>
        <v/>
      </c>
      <c r="K44" s="157">
        <f>IF($AA44="","",INDEX(T_ID,$AA44))</f>
        <v/>
      </c>
      <c r="L44" s="153">
        <f>IF($AA44="","",INDEX(T_Task,$AA44))</f>
        <v/>
      </c>
      <c r="M44" s="154">
        <f>IF($AA44="","",INDEX(T_Due,$AA44))</f>
        <v/>
      </c>
      <c r="N44" s="155">
        <f>IF($AA44="","",INDEX(T_Eff,$AA44))</f>
        <v/>
      </c>
      <c r="P44" s="158">
        <f>IF($AB44="","",INDEX(T_ID,$AB44))</f>
        <v/>
      </c>
      <c r="Q44" s="153">
        <f>IF($AB44="","",INDEX(T_Task,$AB44))</f>
        <v/>
      </c>
      <c r="R44" s="154">
        <f>IF($AB44="","",INDEX(T_Due,$AB44))</f>
        <v/>
      </c>
      <c r="S44" s="155">
        <f>IF($AB44="","",INDEX(T_Eff,$AB44))</f>
        <v/>
      </c>
      <c r="Y44">
        <f>IFERROR(MATCH(SMALL(T_Ariel,38),T_Ariel,0),"")</f>
        <v/>
      </c>
      <c r="Z44">
        <f>IFERROR(MATCH(SMALL(T_Rinat,38),T_Rinat,0),"")</f>
        <v/>
      </c>
      <c r="AA44">
        <f>IFERROR(MATCH(SMALL(T_Tamar,38),T_Tamar,0),"")</f>
        <v/>
      </c>
      <c r="AB44">
        <f>IFERROR(MATCH(SMALL(T_Other,38),T_Other,0),"")</f>
        <v/>
      </c>
    </row>
    <row r="45">
      <c r="A45" s="152">
        <f>IF($Y45="","",INDEX(T_ID,$Y45))</f>
        <v/>
      </c>
      <c r="B45" s="153">
        <f>IF($Y45="","",INDEX(T_Task,$Y45))</f>
        <v/>
      </c>
      <c r="C45" s="154">
        <f>IF($Y45="","",INDEX(T_Due,$Y45))</f>
        <v/>
      </c>
      <c r="D45" s="155">
        <f>IF($Y45="","",INDEX(T_Eff,$Y45))</f>
        <v/>
      </c>
      <c r="F45" s="156">
        <f>IF($Z45="","",INDEX(T_ID,$Z45))</f>
        <v/>
      </c>
      <c r="G45" s="153">
        <f>IF($Z45="","",INDEX(T_Task,$Z45))</f>
        <v/>
      </c>
      <c r="H45" s="154">
        <f>IF($Z45="","",INDEX(T_Due,$Z45))</f>
        <v/>
      </c>
      <c r="I45" s="155">
        <f>IF($Z45="","",INDEX(T_Eff,$Z45))</f>
        <v/>
      </c>
      <c r="K45" s="157">
        <f>IF($AA45="","",INDEX(T_ID,$AA45))</f>
        <v/>
      </c>
      <c r="L45" s="153">
        <f>IF($AA45="","",INDEX(T_Task,$AA45))</f>
        <v/>
      </c>
      <c r="M45" s="154">
        <f>IF($AA45="","",INDEX(T_Due,$AA45))</f>
        <v/>
      </c>
      <c r="N45" s="155">
        <f>IF($AA45="","",INDEX(T_Eff,$AA45))</f>
        <v/>
      </c>
      <c r="P45" s="158">
        <f>IF($AB45="","",INDEX(T_ID,$AB45))</f>
        <v/>
      </c>
      <c r="Q45" s="153">
        <f>IF($AB45="","",INDEX(T_Task,$AB45))</f>
        <v/>
      </c>
      <c r="R45" s="154">
        <f>IF($AB45="","",INDEX(T_Due,$AB45))</f>
        <v/>
      </c>
      <c r="S45" s="155">
        <f>IF($AB45="","",INDEX(T_Eff,$AB45))</f>
        <v/>
      </c>
      <c r="Y45">
        <f>IFERROR(MATCH(SMALL(T_Ariel,39),T_Ariel,0),"")</f>
        <v/>
      </c>
      <c r="Z45">
        <f>IFERROR(MATCH(SMALL(T_Rinat,39),T_Rinat,0),"")</f>
        <v/>
      </c>
      <c r="AA45">
        <f>IFERROR(MATCH(SMALL(T_Tamar,39),T_Tamar,0),"")</f>
        <v/>
      </c>
      <c r="AB45">
        <f>IFERROR(MATCH(SMALL(T_Other,39),T_Other,0),"")</f>
        <v/>
      </c>
    </row>
    <row r="46">
      <c r="A46" s="152">
        <f>IF($Y46="","",INDEX(T_ID,$Y46))</f>
        <v/>
      </c>
      <c r="B46" s="153">
        <f>IF($Y46="","",INDEX(T_Task,$Y46))</f>
        <v/>
      </c>
      <c r="C46" s="154">
        <f>IF($Y46="","",INDEX(T_Due,$Y46))</f>
        <v/>
      </c>
      <c r="D46" s="155">
        <f>IF($Y46="","",INDEX(T_Eff,$Y46))</f>
        <v/>
      </c>
      <c r="F46" s="156">
        <f>IF($Z46="","",INDEX(T_ID,$Z46))</f>
        <v/>
      </c>
      <c r="G46" s="153">
        <f>IF($Z46="","",INDEX(T_Task,$Z46))</f>
        <v/>
      </c>
      <c r="H46" s="154">
        <f>IF($Z46="","",INDEX(T_Due,$Z46))</f>
        <v/>
      </c>
      <c r="I46" s="155">
        <f>IF($Z46="","",INDEX(T_Eff,$Z46))</f>
        <v/>
      </c>
      <c r="K46" s="157">
        <f>IF($AA46="","",INDEX(T_ID,$AA46))</f>
        <v/>
      </c>
      <c r="L46" s="153">
        <f>IF($AA46="","",INDEX(T_Task,$AA46))</f>
        <v/>
      </c>
      <c r="M46" s="154">
        <f>IF($AA46="","",INDEX(T_Due,$AA46))</f>
        <v/>
      </c>
      <c r="N46" s="155">
        <f>IF($AA46="","",INDEX(T_Eff,$AA46))</f>
        <v/>
      </c>
      <c r="P46" s="158">
        <f>IF($AB46="","",INDEX(T_ID,$AB46))</f>
        <v/>
      </c>
      <c r="Q46" s="153">
        <f>IF($AB46="","",INDEX(T_Task,$AB46))</f>
        <v/>
      </c>
      <c r="R46" s="154">
        <f>IF($AB46="","",INDEX(T_Due,$AB46))</f>
        <v/>
      </c>
      <c r="S46" s="155">
        <f>IF($AB46="","",INDEX(T_Eff,$AB46))</f>
        <v/>
      </c>
      <c r="Y46">
        <f>IFERROR(MATCH(SMALL(T_Ariel,40),T_Ariel,0),"")</f>
        <v/>
      </c>
      <c r="Z46">
        <f>IFERROR(MATCH(SMALL(T_Rinat,40),T_Rinat,0),"")</f>
        <v/>
      </c>
      <c r="AA46">
        <f>IFERROR(MATCH(SMALL(T_Tamar,40),T_Tamar,0),"")</f>
        <v/>
      </c>
      <c r="AB46">
        <f>IFERROR(MATCH(SMALL(T_Other,40),T_Other,0),"")</f>
        <v/>
      </c>
    </row>
    <row r="47">
      <c r="A47" s="152">
        <f>IF($Y47="","",INDEX(T_ID,$Y47))</f>
        <v/>
      </c>
      <c r="B47" s="153">
        <f>IF($Y47="","",INDEX(T_Task,$Y47))</f>
        <v/>
      </c>
      <c r="C47" s="154">
        <f>IF($Y47="","",INDEX(T_Due,$Y47))</f>
        <v/>
      </c>
      <c r="D47" s="155">
        <f>IF($Y47="","",INDEX(T_Eff,$Y47))</f>
        <v/>
      </c>
      <c r="F47" s="156">
        <f>IF($Z47="","",INDEX(T_ID,$Z47))</f>
        <v/>
      </c>
      <c r="G47" s="153">
        <f>IF($Z47="","",INDEX(T_Task,$Z47))</f>
        <v/>
      </c>
      <c r="H47" s="154">
        <f>IF($Z47="","",INDEX(T_Due,$Z47))</f>
        <v/>
      </c>
      <c r="I47" s="155">
        <f>IF($Z47="","",INDEX(T_Eff,$Z47))</f>
        <v/>
      </c>
      <c r="K47" s="157">
        <f>IF($AA47="","",INDEX(T_ID,$AA47))</f>
        <v/>
      </c>
      <c r="L47" s="153">
        <f>IF($AA47="","",INDEX(T_Task,$AA47))</f>
        <v/>
      </c>
      <c r="M47" s="154">
        <f>IF($AA47="","",INDEX(T_Due,$AA47))</f>
        <v/>
      </c>
      <c r="N47" s="155">
        <f>IF($AA47="","",INDEX(T_Eff,$AA47))</f>
        <v/>
      </c>
      <c r="P47" s="158">
        <f>IF($AB47="","",INDEX(T_ID,$AB47))</f>
        <v/>
      </c>
      <c r="Q47" s="153">
        <f>IF($AB47="","",INDEX(T_Task,$AB47))</f>
        <v/>
      </c>
      <c r="R47" s="154">
        <f>IF($AB47="","",INDEX(T_Due,$AB47))</f>
        <v/>
      </c>
      <c r="S47" s="155">
        <f>IF($AB47="","",INDEX(T_Eff,$AB47))</f>
        <v/>
      </c>
      <c r="Y47">
        <f>IFERROR(MATCH(SMALL(T_Ariel,41),T_Ariel,0),"")</f>
        <v/>
      </c>
      <c r="Z47">
        <f>IFERROR(MATCH(SMALL(T_Rinat,41),T_Rinat,0),"")</f>
        <v/>
      </c>
      <c r="AA47">
        <f>IFERROR(MATCH(SMALL(T_Tamar,41),T_Tamar,0),"")</f>
        <v/>
      </c>
      <c r="AB47">
        <f>IFERROR(MATCH(SMALL(T_Other,41),T_Other,0),"")</f>
        <v/>
      </c>
    </row>
    <row r="48">
      <c r="A48" s="152">
        <f>IF($Y48="","",INDEX(T_ID,$Y48))</f>
        <v/>
      </c>
      <c r="B48" s="153">
        <f>IF($Y48="","",INDEX(T_Task,$Y48))</f>
        <v/>
      </c>
      <c r="C48" s="154">
        <f>IF($Y48="","",INDEX(T_Due,$Y48))</f>
        <v/>
      </c>
      <c r="D48" s="155">
        <f>IF($Y48="","",INDEX(T_Eff,$Y48))</f>
        <v/>
      </c>
      <c r="F48" s="156">
        <f>IF($Z48="","",INDEX(T_ID,$Z48))</f>
        <v/>
      </c>
      <c r="G48" s="153">
        <f>IF($Z48="","",INDEX(T_Task,$Z48))</f>
        <v/>
      </c>
      <c r="H48" s="154">
        <f>IF($Z48="","",INDEX(T_Due,$Z48))</f>
        <v/>
      </c>
      <c r="I48" s="155">
        <f>IF($Z48="","",INDEX(T_Eff,$Z48))</f>
        <v/>
      </c>
      <c r="K48" s="157">
        <f>IF($AA48="","",INDEX(T_ID,$AA48))</f>
        <v/>
      </c>
      <c r="L48" s="153">
        <f>IF($AA48="","",INDEX(T_Task,$AA48))</f>
        <v/>
      </c>
      <c r="M48" s="154">
        <f>IF($AA48="","",INDEX(T_Due,$AA48))</f>
        <v/>
      </c>
      <c r="N48" s="155">
        <f>IF($AA48="","",INDEX(T_Eff,$AA48))</f>
        <v/>
      </c>
      <c r="P48" s="158">
        <f>IF($AB48="","",INDEX(T_ID,$AB48))</f>
        <v/>
      </c>
      <c r="Q48" s="153">
        <f>IF($AB48="","",INDEX(T_Task,$AB48))</f>
        <v/>
      </c>
      <c r="R48" s="154">
        <f>IF($AB48="","",INDEX(T_Due,$AB48))</f>
        <v/>
      </c>
      <c r="S48" s="155">
        <f>IF($AB48="","",INDEX(T_Eff,$AB48))</f>
        <v/>
      </c>
      <c r="Y48">
        <f>IFERROR(MATCH(SMALL(T_Ariel,42),T_Ariel,0),"")</f>
        <v/>
      </c>
      <c r="Z48">
        <f>IFERROR(MATCH(SMALL(T_Rinat,42),T_Rinat,0),"")</f>
        <v/>
      </c>
      <c r="AA48">
        <f>IFERROR(MATCH(SMALL(T_Tamar,42),T_Tamar,0),"")</f>
        <v/>
      </c>
      <c r="AB48">
        <f>IFERROR(MATCH(SMALL(T_Other,42),T_Other,0),"")</f>
        <v/>
      </c>
    </row>
    <row r="49">
      <c r="A49" s="152">
        <f>IF($Y49="","",INDEX(T_ID,$Y49))</f>
        <v/>
      </c>
      <c r="B49" s="153">
        <f>IF($Y49="","",INDEX(T_Task,$Y49))</f>
        <v/>
      </c>
      <c r="C49" s="154">
        <f>IF($Y49="","",INDEX(T_Due,$Y49))</f>
        <v/>
      </c>
      <c r="D49" s="155">
        <f>IF($Y49="","",INDEX(T_Eff,$Y49))</f>
        <v/>
      </c>
      <c r="F49" s="156">
        <f>IF($Z49="","",INDEX(T_ID,$Z49))</f>
        <v/>
      </c>
      <c r="G49" s="153">
        <f>IF($Z49="","",INDEX(T_Task,$Z49))</f>
        <v/>
      </c>
      <c r="H49" s="154">
        <f>IF($Z49="","",INDEX(T_Due,$Z49))</f>
        <v/>
      </c>
      <c r="I49" s="155">
        <f>IF($Z49="","",INDEX(T_Eff,$Z49))</f>
        <v/>
      </c>
      <c r="K49" s="157">
        <f>IF($AA49="","",INDEX(T_ID,$AA49))</f>
        <v/>
      </c>
      <c r="L49" s="153">
        <f>IF($AA49="","",INDEX(T_Task,$AA49))</f>
        <v/>
      </c>
      <c r="M49" s="154">
        <f>IF($AA49="","",INDEX(T_Due,$AA49))</f>
        <v/>
      </c>
      <c r="N49" s="155">
        <f>IF($AA49="","",INDEX(T_Eff,$AA49))</f>
        <v/>
      </c>
      <c r="P49" s="158">
        <f>IF($AB49="","",INDEX(T_ID,$AB49))</f>
        <v/>
      </c>
      <c r="Q49" s="153">
        <f>IF($AB49="","",INDEX(T_Task,$AB49))</f>
        <v/>
      </c>
      <c r="R49" s="154">
        <f>IF($AB49="","",INDEX(T_Due,$AB49))</f>
        <v/>
      </c>
      <c r="S49" s="155">
        <f>IF($AB49="","",INDEX(T_Eff,$AB49))</f>
        <v/>
      </c>
      <c r="Y49">
        <f>IFERROR(MATCH(SMALL(T_Ariel,43),T_Ariel,0),"")</f>
        <v/>
      </c>
      <c r="Z49">
        <f>IFERROR(MATCH(SMALL(T_Rinat,43),T_Rinat,0),"")</f>
        <v/>
      </c>
      <c r="AA49">
        <f>IFERROR(MATCH(SMALL(T_Tamar,43),T_Tamar,0),"")</f>
        <v/>
      </c>
      <c r="AB49">
        <f>IFERROR(MATCH(SMALL(T_Other,43),T_Other,0),"")</f>
        <v/>
      </c>
    </row>
    <row r="50">
      <c r="A50" s="152">
        <f>IF($Y50="","",INDEX(T_ID,$Y50))</f>
        <v/>
      </c>
      <c r="B50" s="153">
        <f>IF($Y50="","",INDEX(T_Task,$Y50))</f>
        <v/>
      </c>
      <c r="C50" s="154">
        <f>IF($Y50="","",INDEX(T_Due,$Y50))</f>
        <v/>
      </c>
      <c r="D50" s="155">
        <f>IF($Y50="","",INDEX(T_Eff,$Y50))</f>
        <v/>
      </c>
      <c r="F50" s="156">
        <f>IF($Z50="","",INDEX(T_ID,$Z50))</f>
        <v/>
      </c>
      <c r="G50" s="153">
        <f>IF($Z50="","",INDEX(T_Task,$Z50))</f>
        <v/>
      </c>
      <c r="H50" s="154">
        <f>IF($Z50="","",INDEX(T_Due,$Z50))</f>
        <v/>
      </c>
      <c r="I50" s="155">
        <f>IF($Z50="","",INDEX(T_Eff,$Z50))</f>
        <v/>
      </c>
      <c r="K50" s="157">
        <f>IF($AA50="","",INDEX(T_ID,$AA50))</f>
        <v/>
      </c>
      <c r="L50" s="153">
        <f>IF($AA50="","",INDEX(T_Task,$AA50))</f>
        <v/>
      </c>
      <c r="M50" s="154">
        <f>IF($AA50="","",INDEX(T_Due,$AA50))</f>
        <v/>
      </c>
      <c r="N50" s="155">
        <f>IF($AA50="","",INDEX(T_Eff,$AA50))</f>
        <v/>
      </c>
      <c r="P50" s="158">
        <f>IF($AB50="","",INDEX(T_ID,$AB50))</f>
        <v/>
      </c>
      <c r="Q50" s="153">
        <f>IF($AB50="","",INDEX(T_Task,$AB50))</f>
        <v/>
      </c>
      <c r="R50" s="154">
        <f>IF($AB50="","",INDEX(T_Due,$AB50))</f>
        <v/>
      </c>
      <c r="S50" s="155">
        <f>IF($AB50="","",INDEX(T_Eff,$AB50))</f>
        <v/>
      </c>
      <c r="Y50">
        <f>IFERROR(MATCH(SMALL(T_Ariel,44),T_Ariel,0),"")</f>
        <v/>
      </c>
      <c r="Z50">
        <f>IFERROR(MATCH(SMALL(T_Rinat,44),T_Rinat,0),"")</f>
        <v/>
      </c>
      <c r="AA50">
        <f>IFERROR(MATCH(SMALL(T_Tamar,44),T_Tamar,0),"")</f>
        <v/>
      </c>
      <c r="AB50">
        <f>IFERROR(MATCH(SMALL(T_Other,44),T_Other,0),"")</f>
        <v/>
      </c>
    </row>
    <row r="51">
      <c r="A51" s="152">
        <f>IF($Y51="","",INDEX(T_ID,$Y51))</f>
        <v/>
      </c>
      <c r="B51" s="153">
        <f>IF($Y51="","",INDEX(T_Task,$Y51))</f>
        <v/>
      </c>
      <c r="C51" s="154">
        <f>IF($Y51="","",INDEX(T_Due,$Y51))</f>
        <v/>
      </c>
      <c r="D51" s="155">
        <f>IF($Y51="","",INDEX(T_Eff,$Y51))</f>
        <v/>
      </c>
      <c r="F51" s="156">
        <f>IF($Z51="","",INDEX(T_ID,$Z51))</f>
        <v/>
      </c>
      <c r="G51" s="153">
        <f>IF($Z51="","",INDEX(T_Task,$Z51))</f>
        <v/>
      </c>
      <c r="H51" s="154">
        <f>IF($Z51="","",INDEX(T_Due,$Z51))</f>
        <v/>
      </c>
      <c r="I51" s="155">
        <f>IF($Z51="","",INDEX(T_Eff,$Z51))</f>
        <v/>
      </c>
      <c r="K51" s="157">
        <f>IF($AA51="","",INDEX(T_ID,$AA51))</f>
        <v/>
      </c>
      <c r="L51" s="153">
        <f>IF($AA51="","",INDEX(T_Task,$AA51))</f>
        <v/>
      </c>
      <c r="M51" s="154">
        <f>IF($AA51="","",INDEX(T_Due,$AA51))</f>
        <v/>
      </c>
      <c r="N51" s="155">
        <f>IF($AA51="","",INDEX(T_Eff,$AA51))</f>
        <v/>
      </c>
      <c r="P51" s="158">
        <f>IF($AB51="","",INDEX(T_ID,$AB51))</f>
        <v/>
      </c>
      <c r="Q51" s="153">
        <f>IF($AB51="","",INDEX(T_Task,$AB51))</f>
        <v/>
      </c>
      <c r="R51" s="154">
        <f>IF($AB51="","",INDEX(T_Due,$AB51))</f>
        <v/>
      </c>
      <c r="S51" s="155">
        <f>IF($AB51="","",INDEX(T_Eff,$AB51))</f>
        <v/>
      </c>
      <c r="Y51">
        <f>IFERROR(MATCH(SMALL(T_Ariel,45),T_Ariel,0),"")</f>
        <v/>
      </c>
      <c r="Z51">
        <f>IFERROR(MATCH(SMALL(T_Rinat,45),T_Rinat,0),"")</f>
        <v/>
      </c>
      <c r="AA51">
        <f>IFERROR(MATCH(SMALL(T_Tamar,45),T_Tamar,0),"")</f>
        <v/>
      </c>
      <c r="AB51">
        <f>IFERROR(MATCH(SMALL(T_Other,45),T_Other,0),"")</f>
        <v/>
      </c>
    </row>
    <row r="52">
      <c r="A52" s="152">
        <f>IF($Y52="","",INDEX(T_ID,$Y52))</f>
        <v/>
      </c>
      <c r="B52" s="153">
        <f>IF($Y52="","",INDEX(T_Task,$Y52))</f>
        <v/>
      </c>
      <c r="C52" s="154">
        <f>IF($Y52="","",INDEX(T_Due,$Y52))</f>
        <v/>
      </c>
      <c r="D52" s="155">
        <f>IF($Y52="","",INDEX(T_Eff,$Y52))</f>
        <v/>
      </c>
      <c r="F52" s="156">
        <f>IF($Z52="","",INDEX(T_ID,$Z52))</f>
        <v/>
      </c>
      <c r="G52" s="153">
        <f>IF($Z52="","",INDEX(T_Task,$Z52))</f>
        <v/>
      </c>
      <c r="H52" s="154">
        <f>IF($Z52="","",INDEX(T_Due,$Z52))</f>
        <v/>
      </c>
      <c r="I52" s="155">
        <f>IF($Z52="","",INDEX(T_Eff,$Z52))</f>
        <v/>
      </c>
      <c r="K52" s="157">
        <f>IF($AA52="","",INDEX(T_ID,$AA52))</f>
        <v/>
      </c>
      <c r="L52" s="153">
        <f>IF($AA52="","",INDEX(T_Task,$AA52))</f>
        <v/>
      </c>
      <c r="M52" s="154">
        <f>IF($AA52="","",INDEX(T_Due,$AA52))</f>
        <v/>
      </c>
      <c r="N52" s="155">
        <f>IF($AA52="","",INDEX(T_Eff,$AA52))</f>
        <v/>
      </c>
      <c r="P52" s="158">
        <f>IF($AB52="","",INDEX(T_ID,$AB52))</f>
        <v/>
      </c>
      <c r="Q52" s="153">
        <f>IF($AB52="","",INDEX(T_Task,$AB52))</f>
        <v/>
      </c>
      <c r="R52" s="154">
        <f>IF($AB52="","",INDEX(T_Due,$AB52))</f>
        <v/>
      </c>
      <c r="S52" s="155">
        <f>IF($AB52="","",INDEX(T_Eff,$AB52))</f>
        <v/>
      </c>
      <c r="Y52">
        <f>IFERROR(MATCH(SMALL(T_Ariel,46),T_Ariel,0),"")</f>
        <v/>
      </c>
      <c r="Z52">
        <f>IFERROR(MATCH(SMALL(T_Rinat,46),T_Rinat,0),"")</f>
        <v/>
      </c>
      <c r="AA52">
        <f>IFERROR(MATCH(SMALL(T_Tamar,46),T_Tamar,0),"")</f>
        <v/>
      </c>
      <c r="AB52">
        <f>IFERROR(MATCH(SMALL(T_Other,46),T_Other,0),"")</f>
        <v/>
      </c>
    </row>
    <row r="53">
      <c r="A53" s="152">
        <f>IF($Y53="","",INDEX(T_ID,$Y53))</f>
        <v/>
      </c>
      <c r="B53" s="153">
        <f>IF($Y53="","",INDEX(T_Task,$Y53))</f>
        <v/>
      </c>
      <c r="C53" s="154">
        <f>IF($Y53="","",INDEX(T_Due,$Y53))</f>
        <v/>
      </c>
      <c r="D53" s="155">
        <f>IF($Y53="","",INDEX(T_Eff,$Y53))</f>
        <v/>
      </c>
      <c r="F53" s="156">
        <f>IF($Z53="","",INDEX(T_ID,$Z53))</f>
        <v/>
      </c>
      <c r="G53" s="153">
        <f>IF($Z53="","",INDEX(T_Task,$Z53))</f>
        <v/>
      </c>
      <c r="H53" s="154">
        <f>IF($Z53="","",INDEX(T_Due,$Z53))</f>
        <v/>
      </c>
      <c r="I53" s="155">
        <f>IF($Z53="","",INDEX(T_Eff,$Z53))</f>
        <v/>
      </c>
      <c r="K53" s="157">
        <f>IF($AA53="","",INDEX(T_ID,$AA53))</f>
        <v/>
      </c>
      <c r="L53" s="153">
        <f>IF($AA53="","",INDEX(T_Task,$AA53))</f>
        <v/>
      </c>
      <c r="M53" s="154">
        <f>IF($AA53="","",INDEX(T_Due,$AA53))</f>
        <v/>
      </c>
      <c r="N53" s="155">
        <f>IF($AA53="","",INDEX(T_Eff,$AA53))</f>
        <v/>
      </c>
      <c r="P53" s="158">
        <f>IF($AB53="","",INDEX(T_ID,$AB53))</f>
        <v/>
      </c>
      <c r="Q53" s="153">
        <f>IF($AB53="","",INDEX(T_Task,$AB53))</f>
        <v/>
      </c>
      <c r="R53" s="154">
        <f>IF($AB53="","",INDEX(T_Due,$AB53))</f>
        <v/>
      </c>
      <c r="S53" s="155">
        <f>IF($AB53="","",INDEX(T_Eff,$AB53))</f>
        <v/>
      </c>
      <c r="Y53">
        <f>IFERROR(MATCH(SMALL(T_Ariel,47),T_Ariel,0),"")</f>
        <v/>
      </c>
      <c r="Z53">
        <f>IFERROR(MATCH(SMALL(T_Rinat,47),T_Rinat,0),"")</f>
        <v/>
      </c>
      <c r="AA53">
        <f>IFERROR(MATCH(SMALL(T_Tamar,47),T_Tamar,0),"")</f>
        <v/>
      </c>
      <c r="AB53">
        <f>IFERROR(MATCH(SMALL(T_Other,47),T_Other,0),"")</f>
        <v/>
      </c>
    </row>
    <row r="54">
      <c r="A54" s="152">
        <f>IF($Y54="","",INDEX(T_ID,$Y54))</f>
        <v/>
      </c>
      <c r="B54" s="153">
        <f>IF($Y54="","",INDEX(T_Task,$Y54))</f>
        <v/>
      </c>
      <c r="C54" s="154">
        <f>IF($Y54="","",INDEX(T_Due,$Y54))</f>
        <v/>
      </c>
      <c r="D54" s="155">
        <f>IF($Y54="","",INDEX(T_Eff,$Y54))</f>
        <v/>
      </c>
      <c r="F54" s="156">
        <f>IF($Z54="","",INDEX(T_ID,$Z54))</f>
        <v/>
      </c>
      <c r="G54" s="153">
        <f>IF($Z54="","",INDEX(T_Task,$Z54))</f>
        <v/>
      </c>
      <c r="H54" s="154">
        <f>IF($Z54="","",INDEX(T_Due,$Z54))</f>
        <v/>
      </c>
      <c r="I54" s="155">
        <f>IF($Z54="","",INDEX(T_Eff,$Z54))</f>
        <v/>
      </c>
      <c r="K54" s="157">
        <f>IF($AA54="","",INDEX(T_ID,$AA54))</f>
        <v/>
      </c>
      <c r="L54" s="153">
        <f>IF($AA54="","",INDEX(T_Task,$AA54))</f>
        <v/>
      </c>
      <c r="M54" s="154">
        <f>IF($AA54="","",INDEX(T_Due,$AA54))</f>
        <v/>
      </c>
      <c r="N54" s="155">
        <f>IF($AA54="","",INDEX(T_Eff,$AA54))</f>
        <v/>
      </c>
      <c r="P54" s="158">
        <f>IF($AB54="","",INDEX(T_ID,$AB54))</f>
        <v/>
      </c>
      <c r="Q54" s="153">
        <f>IF($AB54="","",INDEX(T_Task,$AB54))</f>
        <v/>
      </c>
      <c r="R54" s="154">
        <f>IF($AB54="","",INDEX(T_Due,$AB54))</f>
        <v/>
      </c>
      <c r="S54" s="155">
        <f>IF($AB54="","",INDEX(T_Eff,$AB54))</f>
        <v/>
      </c>
      <c r="Y54">
        <f>IFERROR(MATCH(SMALL(T_Ariel,48),T_Ariel,0),"")</f>
        <v/>
      </c>
      <c r="Z54">
        <f>IFERROR(MATCH(SMALL(T_Rinat,48),T_Rinat,0),"")</f>
        <v/>
      </c>
      <c r="AA54">
        <f>IFERROR(MATCH(SMALL(T_Tamar,48),T_Tamar,0),"")</f>
        <v/>
      </c>
      <c r="AB54">
        <f>IFERROR(MATCH(SMALL(T_Other,48),T_Other,0),"")</f>
        <v/>
      </c>
    </row>
    <row r="55">
      <c r="A55" s="152">
        <f>IF($Y55="","",INDEX(T_ID,$Y55))</f>
        <v/>
      </c>
      <c r="B55" s="153">
        <f>IF($Y55="","",INDEX(T_Task,$Y55))</f>
        <v/>
      </c>
      <c r="C55" s="154">
        <f>IF($Y55="","",INDEX(T_Due,$Y55))</f>
        <v/>
      </c>
      <c r="D55" s="155">
        <f>IF($Y55="","",INDEX(T_Eff,$Y55))</f>
        <v/>
      </c>
      <c r="F55" s="156">
        <f>IF($Z55="","",INDEX(T_ID,$Z55))</f>
        <v/>
      </c>
      <c r="G55" s="153">
        <f>IF($Z55="","",INDEX(T_Task,$Z55))</f>
        <v/>
      </c>
      <c r="H55" s="154">
        <f>IF($Z55="","",INDEX(T_Due,$Z55))</f>
        <v/>
      </c>
      <c r="I55" s="155">
        <f>IF($Z55="","",INDEX(T_Eff,$Z55))</f>
        <v/>
      </c>
      <c r="K55" s="157">
        <f>IF($AA55="","",INDEX(T_ID,$AA55))</f>
        <v/>
      </c>
      <c r="L55" s="153">
        <f>IF($AA55="","",INDEX(T_Task,$AA55))</f>
        <v/>
      </c>
      <c r="M55" s="154">
        <f>IF($AA55="","",INDEX(T_Due,$AA55))</f>
        <v/>
      </c>
      <c r="N55" s="155">
        <f>IF($AA55="","",INDEX(T_Eff,$AA55))</f>
        <v/>
      </c>
      <c r="P55" s="158">
        <f>IF($AB55="","",INDEX(T_ID,$AB55))</f>
        <v/>
      </c>
      <c r="Q55" s="153">
        <f>IF($AB55="","",INDEX(T_Task,$AB55))</f>
        <v/>
      </c>
      <c r="R55" s="154">
        <f>IF($AB55="","",INDEX(T_Due,$AB55))</f>
        <v/>
      </c>
      <c r="S55" s="155">
        <f>IF($AB55="","",INDEX(T_Eff,$AB55))</f>
        <v/>
      </c>
      <c r="Y55">
        <f>IFERROR(MATCH(SMALL(T_Ariel,49),T_Ariel,0),"")</f>
        <v/>
      </c>
      <c r="Z55">
        <f>IFERROR(MATCH(SMALL(T_Rinat,49),T_Rinat,0),"")</f>
        <v/>
      </c>
      <c r="AA55">
        <f>IFERROR(MATCH(SMALL(T_Tamar,49),T_Tamar,0),"")</f>
        <v/>
      </c>
      <c r="AB55">
        <f>IFERROR(MATCH(SMALL(T_Other,49),T_Other,0),"")</f>
        <v/>
      </c>
    </row>
    <row r="56">
      <c r="A56" s="152">
        <f>IF($Y56="","",INDEX(T_ID,$Y56))</f>
        <v/>
      </c>
      <c r="B56" s="153">
        <f>IF($Y56="","",INDEX(T_Task,$Y56))</f>
        <v/>
      </c>
      <c r="C56" s="154">
        <f>IF($Y56="","",INDEX(T_Due,$Y56))</f>
        <v/>
      </c>
      <c r="D56" s="155">
        <f>IF($Y56="","",INDEX(T_Eff,$Y56))</f>
        <v/>
      </c>
      <c r="F56" s="156">
        <f>IF($Z56="","",INDEX(T_ID,$Z56))</f>
        <v/>
      </c>
      <c r="G56" s="153">
        <f>IF($Z56="","",INDEX(T_Task,$Z56))</f>
        <v/>
      </c>
      <c r="H56" s="154">
        <f>IF($Z56="","",INDEX(T_Due,$Z56))</f>
        <v/>
      </c>
      <c r="I56" s="155">
        <f>IF($Z56="","",INDEX(T_Eff,$Z56))</f>
        <v/>
      </c>
      <c r="K56" s="157">
        <f>IF($AA56="","",INDEX(T_ID,$AA56))</f>
        <v/>
      </c>
      <c r="L56" s="153">
        <f>IF($AA56="","",INDEX(T_Task,$AA56))</f>
        <v/>
      </c>
      <c r="M56" s="154">
        <f>IF($AA56="","",INDEX(T_Due,$AA56))</f>
        <v/>
      </c>
      <c r="N56" s="155">
        <f>IF($AA56="","",INDEX(T_Eff,$AA56))</f>
        <v/>
      </c>
      <c r="P56" s="158">
        <f>IF($AB56="","",INDEX(T_ID,$AB56))</f>
        <v/>
      </c>
      <c r="Q56" s="153">
        <f>IF($AB56="","",INDEX(T_Task,$AB56))</f>
        <v/>
      </c>
      <c r="R56" s="154">
        <f>IF($AB56="","",INDEX(T_Due,$AB56))</f>
        <v/>
      </c>
      <c r="S56" s="155">
        <f>IF($AB56="","",INDEX(T_Eff,$AB56))</f>
        <v/>
      </c>
      <c r="Y56">
        <f>IFERROR(MATCH(SMALL(T_Ariel,50),T_Ariel,0),"")</f>
        <v/>
      </c>
      <c r="Z56">
        <f>IFERROR(MATCH(SMALL(T_Rinat,50),T_Rinat,0),"")</f>
        <v/>
      </c>
      <c r="AA56">
        <f>IFERROR(MATCH(SMALL(T_Tamar,50),T_Tamar,0),"")</f>
        <v/>
      </c>
      <c r="AB56">
        <f>IFERROR(MATCH(SMALL(T_Other,50),T_Other,0),"")</f>
        <v/>
      </c>
    </row>
    <row r="57">
      <c r="A57" s="152">
        <f>IF($Y57="","",INDEX(T_ID,$Y57))</f>
        <v/>
      </c>
      <c r="B57" s="153">
        <f>IF($Y57="","",INDEX(T_Task,$Y57))</f>
        <v/>
      </c>
      <c r="C57" s="154">
        <f>IF($Y57="","",INDEX(T_Due,$Y57))</f>
        <v/>
      </c>
      <c r="D57" s="155">
        <f>IF($Y57="","",INDEX(T_Eff,$Y57))</f>
        <v/>
      </c>
      <c r="F57" s="156">
        <f>IF($Z57="","",INDEX(T_ID,$Z57))</f>
        <v/>
      </c>
      <c r="G57" s="153">
        <f>IF($Z57="","",INDEX(T_Task,$Z57))</f>
        <v/>
      </c>
      <c r="H57" s="154">
        <f>IF($Z57="","",INDEX(T_Due,$Z57))</f>
        <v/>
      </c>
      <c r="I57" s="155">
        <f>IF($Z57="","",INDEX(T_Eff,$Z57))</f>
        <v/>
      </c>
      <c r="K57" s="157">
        <f>IF($AA57="","",INDEX(T_ID,$AA57))</f>
        <v/>
      </c>
      <c r="L57" s="153">
        <f>IF($AA57="","",INDEX(T_Task,$AA57))</f>
        <v/>
      </c>
      <c r="M57" s="154">
        <f>IF($AA57="","",INDEX(T_Due,$AA57))</f>
        <v/>
      </c>
      <c r="N57" s="155">
        <f>IF($AA57="","",INDEX(T_Eff,$AA57))</f>
        <v/>
      </c>
      <c r="P57" s="158">
        <f>IF($AB57="","",INDEX(T_ID,$AB57))</f>
        <v/>
      </c>
      <c r="Q57" s="153">
        <f>IF($AB57="","",INDEX(T_Task,$AB57))</f>
        <v/>
      </c>
      <c r="R57" s="154">
        <f>IF($AB57="","",INDEX(T_Due,$AB57))</f>
        <v/>
      </c>
      <c r="S57" s="155">
        <f>IF($AB57="","",INDEX(T_Eff,$AB57))</f>
        <v/>
      </c>
      <c r="Y57">
        <f>IFERROR(MATCH(SMALL(T_Ariel,51),T_Ariel,0),"")</f>
        <v/>
      </c>
      <c r="Z57">
        <f>IFERROR(MATCH(SMALL(T_Rinat,51),T_Rinat,0),"")</f>
        <v/>
      </c>
      <c r="AA57">
        <f>IFERROR(MATCH(SMALL(T_Tamar,51),T_Tamar,0),"")</f>
        <v/>
      </c>
      <c r="AB57">
        <f>IFERROR(MATCH(SMALL(T_Other,51),T_Other,0),"")</f>
        <v/>
      </c>
    </row>
    <row r="58">
      <c r="A58" s="152">
        <f>IF($Y58="","",INDEX(T_ID,$Y58))</f>
        <v/>
      </c>
      <c r="B58" s="153">
        <f>IF($Y58="","",INDEX(T_Task,$Y58))</f>
        <v/>
      </c>
      <c r="C58" s="154">
        <f>IF($Y58="","",INDEX(T_Due,$Y58))</f>
        <v/>
      </c>
      <c r="D58" s="155">
        <f>IF($Y58="","",INDEX(T_Eff,$Y58))</f>
        <v/>
      </c>
      <c r="F58" s="156">
        <f>IF($Z58="","",INDEX(T_ID,$Z58))</f>
        <v/>
      </c>
      <c r="G58" s="153">
        <f>IF($Z58="","",INDEX(T_Task,$Z58))</f>
        <v/>
      </c>
      <c r="H58" s="154">
        <f>IF($Z58="","",INDEX(T_Due,$Z58))</f>
        <v/>
      </c>
      <c r="I58" s="155">
        <f>IF($Z58="","",INDEX(T_Eff,$Z58))</f>
        <v/>
      </c>
      <c r="K58" s="157">
        <f>IF($AA58="","",INDEX(T_ID,$AA58))</f>
        <v/>
      </c>
      <c r="L58" s="153">
        <f>IF($AA58="","",INDEX(T_Task,$AA58))</f>
        <v/>
      </c>
      <c r="M58" s="154">
        <f>IF($AA58="","",INDEX(T_Due,$AA58))</f>
        <v/>
      </c>
      <c r="N58" s="155">
        <f>IF($AA58="","",INDEX(T_Eff,$AA58))</f>
        <v/>
      </c>
      <c r="P58" s="158">
        <f>IF($AB58="","",INDEX(T_ID,$AB58))</f>
        <v/>
      </c>
      <c r="Q58" s="153">
        <f>IF($AB58="","",INDEX(T_Task,$AB58))</f>
        <v/>
      </c>
      <c r="R58" s="154">
        <f>IF($AB58="","",INDEX(T_Due,$AB58))</f>
        <v/>
      </c>
      <c r="S58" s="155">
        <f>IF($AB58="","",INDEX(T_Eff,$AB58))</f>
        <v/>
      </c>
      <c r="Y58">
        <f>IFERROR(MATCH(SMALL(T_Ariel,52),T_Ariel,0),"")</f>
        <v/>
      </c>
      <c r="Z58">
        <f>IFERROR(MATCH(SMALL(T_Rinat,52),T_Rinat,0),"")</f>
        <v/>
      </c>
      <c r="AA58">
        <f>IFERROR(MATCH(SMALL(T_Tamar,52),T_Tamar,0),"")</f>
        <v/>
      </c>
      <c r="AB58">
        <f>IFERROR(MATCH(SMALL(T_Other,52),T_Other,0),"")</f>
        <v/>
      </c>
    </row>
    <row r="59">
      <c r="A59" s="152">
        <f>IF($Y59="","",INDEX(T_ID,$Y59))</f>
        <v/>
      </c>
      <c r="B59" s="153">
        <f>IF($Y59="","",INDEX(T_Task,$Y59))</f>
        <v/>
      </c>
      <c r="C59" s="154">
        <f>IF($Y59="","",INDEX(T_Due,$Y59))</f>
        <v/>
      </c>
      <c r="D59" s="155">
        <f>IF($Y59="","",INDEX(T_Eff,$Y59))</f>
        <v/>
      </c>
      <c r="F59" s="156">
        <f>IF($Z59="","",INDEX(T_ID,$Z59))</f>
        <v/>
      </c>
      <c r="G59" s="153">
        <f>IF($Z59="","",INDEX(T_Task,$Z59))</f>
        <v/>
      </c>
      <c r="H59" s="154">
        <f>IF($Z59="","",INDEX(T_Due,$Z59))</f>
        <v/>
      </c>
      <c r="I59" s="155">
        <f>IF($Z59="","",INDEX(T_Eff,$Z59))</f>
        <v/>
      </c>
      <c r="K59" s="157">
        <f>IF($AA59="","",INDEX(T_ID,$AA59))</f>
        <v/>
      </c>
      <c r="L59" s="153">
        <f>IF($AA59="","",INDEX(T_Task,$AA59))</f>
        <v/>
      </c>
      <c r="M59" s="154">
        <f>IF($AA59="","",INDEX(T_Due,$AA59))</f>
        <v/>
      </c>
      <c r="N59" s="155">
        <f>IF($AA59="","",INDEX(T_Eff,$AA59))</f>
        <v/>
      </c>
      <c r="P59" s="158">
        <f>IF($AB59="","",INDEX(T_ID,$AB59))</f>
        <v/>
      </c>
      <c r="Q59" s="153">
        <f>IF($AB59="","",INDEX(T_Task,$AB59))</f>
        <v/>
      </c>
      <c r="R59" s="154">
        <f>IF($AB59="","",INDEX(T_Due,$AB59))</f>
        <v/>
      </c>
      <c r="S59" s="155">
        <f>IF($AB59="","",INDEX(T_Eff,$AB59))</f>
        <v/>
      </c>
      <c r="Y59">
        <f>IFERROR(MATCH(SMALL(T_Ariel,53),T_Ariel,0),"")</f>
        <v/>
      </c>
      <c r="Z59">
        <f>IFERROR(MATCH(SMALL(T_Rinat,53),T_Rinat,0),"")</f>
        <v/>
      </c>
      <c r="AA59">
        <f>IFERROR(MATCH(SMALL(T_Tamar,53),T_Tamar,0),"")</f>
        <v/>
      </c>
      <c r="AB59">
        <f>IFERROR(MATCH(SMALL(T_Other,53),T_Other,0),"")</f>
        <v/>
      </c>
    </row>
    <row r="60">
      <c r="A60" s="152">
        <f>IF($Y60="","",INDEX(T_ID,$Y60))</f>
        <v/>
      </c>
      <c r="B60" s="153">
        <f>IF($Y60="","",INDEX(T_Task,$Y60))</f>
        <v/>
      </c>
      <c r="C60" s="154">
        <f>IF($Y60="","",INDEX(T_Due,$Y60))</f>
        <v/>
      </c>
      <c r="D60" s="155">
        <f>IF($Y60="","",INDEX(T_Eff,$Y60))</f>
        <v/>
      </c>
      <c r="F60" s="156">
        <f>IF($Z60="","",INDEX(T_ID,$Z60))</f>
        <v/>
      </c>
      <c r="G60" s="153">
        <f>IF($Z60="","",INDEX(T_Task,$Z60))</f>
        <v/>
      </c>
      <c r="H60" s="154">
        <f>IF($Z60="","",INDEX(T_Due,$Z60))</f>
        <v/>
      </c>
      <c r="I60" s="155">
        <f>IF($Z60="","",INDEX(T_Eff,$Z60))</f>
        <v/>
      </c>
      <c r="K60" s="157">
        <f>IF($AA60="","",INDEX(T_ID,$AA60))</f>
        <v/>
      </c>
      <c r="L60" s="153">
        <f>IF($AA60="","",INDEX(T_Task,$AA60))</f>
        <v/>
      </c>
      <c r="M60" s="154">
        <f>IF($AA60="","",INDEX(T_Due,$AA60))</f>
        <v/>
      </c>
      <c r="N60" s="155">
        <f>IF($AA60="","",INDEX(T_Eff,$AA60))</f>
        <v/>
      </c>
      <c r="P60" s="158">
        <f>IF($AB60="","",INDEX(T_ID,$AB60))</f>
        <v/>
      </c>
      <c r="Q60" s="153">
        <f>IF($AB60="","",INDEX(T_Task,$AB60))</f>
        <v/>
      </c>
      <c r="R60" s="154">
        <f>IF($AB60="","",INDEX(T_Due,$AB60))</f>
        <v/>
      </c>
      <c r="S60" s="155">
        <f>IF($AB60="","",INDEX(T_Eff,$AB60))</f>
        <v/>
      </c>
      <c r="Y60">
        <f>IFERROR(MATCH(SMALL(T_Ariel,54),T_Ariel,0),"")</f>
        <v/>
      </c>
      <c r="Z60">
        <f>IFERROR(MATCH(SMALL(T_Rinat,54),T_Rinat,0),"")</f>
        <v/>
      </c>
      <c r="AA60">
        <f>IFERROR(MATCH(SMALL(T_Tamar,54),T_Tamar,0),"")</f>
        <v/>
      </c>
      <c r="AB60">
        <f>IFERROR(MATCH(SMALL(T_Other,54),T_Other,0),"")</f>
        <v/>
      </c>
    </row>
    <row r="61">
      <c r="A61" s="152">
        <f>IF($Y61="","",INDEX(T_ID,$Y61))</f>
        <v/>
      </c>
      <c r="B61" s="153">
        <f>IF($Y61="","",INDEX(T_Task,$Y61))</f>
        <v/>
      </c>
      <c r="C61" s="154">
        <f>IF($Y61="","",INDEX(T_Due,$Y61))</f>
        <v/>
      </c>
      <c r="D61" s="155">
        <f>IF($Y61="","",INDEX(T_Eff,$Y61))</f>
        <v/>
      </c>
      <c r="F61" s="156">
        <f>IF($Z61="","",INDEX(T_ID,$Z61))</f>
        <v/>
      </c>
      <c r="G61" s="153">
        <f>IF($Z61="","",INDEX(T_Task,$Z61))</f>
        <v/>
      </c>
      <c r="H61" s="154">
        <f>IF($Z61="","",INDEX(T_Due,$Z61))</f>
        <v/>
      </c>
      <c r="I61" s="155">
        <f>IF($Z61="","",INDEX(T_Eff,$Z61))</f>
        <v/>
      </c>
      <c r="K61" s="157">
        <f>IF($AA61="","",INDEX(T_ID,$AA61))</f>
        <v/>
      </c>
      <c r="L61" s="153">
        <f>IF($AA61="","",INDEX(T_Task,$AA61))</f>
        <v/>
      </c>
      <c r="M61" s="154">
        <f>IF($AA61="","",INDEX(T_Due,$AA61))</f>
        <v/>
      </c>
      <c r="N61" s="155">
        <f>IF($AA61="","",INDEX(T_Eff,$AA61))</f>
        <v/>
      </c>
      <c r="P61" s="158">
        <f>IF($AB61="","",INDEX(T_ID,$AB61))</f>
        <v/>
      </c>
      <c r="Q61" s="153">
        <f>IF($AB61="","",INDEX(T_Task,$AB61))</f>
        <v/>
      </c>
      <c r="R61" s="154">
        <f>IF($AB61="","",INDEX(T_Due,$AB61))</f>
        <v/>
      </c>
      <c r="S61" s="155">
        <f>IF($AB61="","",INDEX(T_Eff,$AB61))</f>
        <v/>
      </c>
      <c r="Y61">
        <f>IFERROR(MATCH(SMALL(T_Ariel,55),T_Ariel,0),"")</f>
        <v/>
      </c>
      <c r="Z61">
        <f>IFERROR(MATCH(SMALL(T_Rinat,55),T_Rinat,0),"")</f>
        <v/>
      </c>
      <c r="AA61">
        <f>IFERROR(MATCH(SMALL(T_Tamar,55),T_Tamar,0),"")</f>
        <v/>
      </c>
      <c r="AB61">
        <f>IFERROR(MATCH(SMALL(T_Other,55),T_Other,0),"")</f>
        <v/>
      </c>
    </row>
    <row r="62">
      <c r="A62" s="152">
        <f>IF($Y62="","",INDEX(T_ID,$Y62))</f>
        <v/>
      </c>
      <c r="B62" s="153">
        <f>IF($Y62="","",INDEX(T_Task,$Y62))</f>
        <v/>
      </c>
      <c r="C62" s="154">
        <f>IF($Y62="","",INDEX(T_Due,$Y62))</f>
        <v/>
      </c>
      <c r="D62" s="155">
        <f>IF($Y62="","",INDEX(T_Eff,$Y62))</f>
        <v/>
      </c>
      <c r="F62" s="156">
        <f>IF($Z62="","",INDEX(T_ID,$Z62))</f>
        <v/>
      </c>
      <c r="G62" s="153">
        <f>IF($Z62="","",INDEX(T_Task,$Z62))</f>
        <v/>
      </c>
      <c r="H62" s="154">
        <f>IF($Z62="","",INDEX(T_Due,$Z62))</f>
        <v/>
      </c>
      <c r="I62" s="155">
        <f>IF($Z62="","",INDEX(T_Eff,$Z62))</f>
        <v/>
      </c>
      <c r="K62" s="157">
        <f>IF($AA62="","",INDEX(T_ID,$AA62))</f>
        <v/>
      </c>
      <c r="L62" s="153">
        <f>IF($AA62="","",INDEX(T_Task,$AA62))</f>
        <v/>
      </c>
      <c r="M62" s="154">
        <f>IF($AA62="","",INDEX(T_Due,$AA62))</f>
        <v/>
      </c>
      <c r="N62" s="155">
        <f>IF($AA62="","",INDEX(T_Eff,$AA62))</f>
        <v/>
      </c>
      <c r="P62" s="158">
        <f>IF($AB62="","",INDEX(T_ID,$AB62))</f>
        <v/>
      </c>
      <c r="Q62" s="153">
        <f>IF($AB62="","",INDEX(T_Task,$AB62))</f>
        <v/>
      </c>
      <c r="R62" s="154">
        <f>IF($AB62="","",INDEX(T_Due,$AB62))</f>
        <v/>
      </c>
      <c r="S62" s="155">
        <f>IF($AB62="","",INDEX(T_Eff,$AB62))</f>
        <v/>
      </c>
      <c r="Y62">
        <f>IFERROR(MATCH(SMALL(T_Ariel,56),T_Ariel,0),"")</f>
        <v/>
      </c>
      <c r="Z62">
        <f>IFERROR(MATCH(SMALL(T_Rinat,56),T_Rinat,0),"")</f>
        <v/>
      </c>
      <c r="AA62">
        <f>IFERROR(MATCH(SMALL(T_Tamar,56),T_Tamar,0),"")</f>
        <v/>
      </c>
      <c r="AB62">
        <f>IFERROR(MATCH(SMALL(T_Other,56),T_Other,0),"")</f>
        <v/>
      </c>
    </row>
    <row r="63">
      <c r="A63" s="152">
        <f>IF($Y63="","",INDEX(T_ID,$Y63))</f>
        <v/>
      </c>
      <c r="B63" s="153">
        <f>IF($Y63="","",INDEX(T_Task,$Y63))</f>
        <v/>
      </c>
      <c r="C63" s="154">
        <f>IF($Y63="","",INDEX(T_Due,$Y63))</f>
        <v/>
      </c>
      <c r="D63" s="155">
        <f>IF($Y63="","",INDEX(T_Eff,$Y63))</f>
        <v/>
      </c>
      <c r="F63" s="156">
        <f>IF($Z63="","",INDEX(T_ID,$Z63))</f>
        <v/>
      </c>
      <c r="G63" s="153">
        <f>IF($Z63="","",INDEX(T_Task,$Z63))</f>
        <v/>
      </c>
      <c r="H63" s="154">
        <f>IF($Z63="","",INDEX(T_Due,$Z63))</f>
        <v/>
      </c>
      <c r="I63" s="155">
        <f>IF($Z63="","",INDEX(T_Eff,$Z63))</f>
        <v/>
      </c>
      <c r="K63" s="157">
        <f>IF($AA63="","",INDEX(T_ID,$AA63))</f>
        <v/>
      </c>
      <c r="L63" s="153">
        <f>IF($AA63="","",INDEX(T_Task,$AA63))</f>
        <v/>
      </c>
      <c r="M63" s="154">
        <f>IF($AA63="","",INDEX(T_Due,$AA63))</f>
        <v/>
      </c>
      <c r="N63" s="155">
        <f>IF($AA63="","",INDEX(T_Eff,$AA63))</f>
        <v/>
      </c>
      <c r="P63" s="158">
        <f>IF($AB63="","",INDEX(T_ID,$AB63))</f>
        <v/>
      </c>
      <c r="Q63" s="153">
        <f>IF($AB63="","",INDEX(T_Task,$AB63))</f>
        <v/>
      </c>
      <c r="R63" s="154">
        <f>IF($AB63="","",INDEX(T_Due,$AB63))</f>
        <v/>
      </c>
      <c r="S63" s="155">
        <f>IF($AB63="","",INDEX(T_Eff,$AB63))</f>
        <v/>
      </c>
      <c r="Y63">
        <f>IFERROR(MATCH(SMALL(T_Ariel,57),T_Ariel,0),"")</f>
        <v/>
      </c>
      <c r="Z63">
        <f>IFERROR(MATCH(SMALL(T_Rinat,57),T_Rinat,0),"")</f>
        <v/>
      </c>
      <c r="AA63">
        <f>IFERROR(MATCH(SMALL(T_Tamar,57),T_Tamar,0),"")</f>
        <v/>
      </c>
      <c r="AB63">
        <f>IFERROR(MATCH(SMALL(T_Other,57),T_Other,0),"")</f>
        <v/>
      </c>
    </row>
    <row r="64">
      <c r="A64" s="152">
        <f>IF($Y64="","",INDEX(T_ID,$Y64))</f>
        <v/>
      </c>
      <c r="B64" s="153">
        <f>IF($Y64="","",INDEX(T_Task,$Y64))</f>
        <v/>
      </c>
      <c r="C64" s="154">
        <f>IF($Y64="","",INDEX(T_Due,$Y64))</f>
        <v/>
      </c>
      <c r="D64" s="155">
        <f>IF($Y64="","",INDEX(T_Eff,$Y64))</f>
        <v/>
      </c>
      <c r="F64" s="156">
        <f>IF($Z64="","",INDEX(T_ID,$Z64))</f>
        <v/>
      </c>
      <c r="G64" s="153">
        <f>IF($Z64="","",INDEX(T_Task,$Z64))</f>
        <v/>
      </c>
      <c r="H64" s="154">
        <f>IF($Z64="","",INDEX(T_Due,$Z64))</f>
        <v/>
      </c>
      <c r="I64" s="155">
        <f>IF($Z64="","",INDEX(T_Eff,$Z64))</f>
        <v/>
      </c>
      <c r="K64" s="157">
        <f>IF($AA64="","",INDEX(T_ID,$AA64))</f>
        <v/>
      </c>
      <c r="L64" s="153">
        <f>IF($AA64="","",INDEX(T_Task,$AA64))</f>
        <v/>
      </c>
      <c r="M64" s="154">
        <f>IF($AA64="","",INDEX(T_Due,$AA64))</f>
        <v/>
      </c>
      <c r="N64" s="155">
        <f>IF($AA64="","",INDEX(T_Eff,$AA64))</f>
        <v/>
      </c>
      <c r="P64" s="158">
        <f>IF($AB64="","",INDEX(T_ID,$AB64))</f>
        <v/>
      </c>
      <c r="Q64" s="153">
        <f>IF($AB64="","",INDEX(T_Task,$AB64))</f>
        <v/>
      </c>
      <c r="R64" s="154">
        <f>IF($AB64="","",INDEX(T_Due,$AB64))</f>
        <v/>
      </c>
      <c r="S64" s="155">
        <f>IF($AB64="","",INDEX(T_Eff,$AB64))</f>
        <v/>
      </c>
      <c r="Y64">
        <f>IFERROR(MATCH(SMALL(T_Ariel,58),T_Ariel,0),"")</f>
        <v/>
      </c>
      <c r="Z64">
        <f>IFERROR(MATCH(SMALL(T_Rinat,58),T_Rinat,0),"")</f>
        <v/>
      </c>
      <c r="AA64">
        <f>IFERROR(MATCH(SMALL(T_Tamar,58),T_Tamar,0),"")</f>
        <v/>
      </c>
      <c r="AB64">
        <f>IFERROR(MATCH(SMALL(T_Other,58),T_Other,0),"")</f>
        <v/>
      </c>
    </row>
    <row r="65">
      <c r="A65" s="152">
        <f>IF($Y65="","",INDEX(T_ID,$Y65))</f>
        <v/>
      </c>
      <c r="B65" s="153">
        <f>IF($Y65="","",INDEX(T_Task,$Y65))</f>
        <v/>
      </c>
      <c r="C65" s="154">
        <f>IF($Y65="","",INDEX(T_Due,$Y65))</f>
        <v/>
      </c>
      <c r="D65" s="155">
        <f>IF($Y65="","",INDEX(T_Eff,$Y65))</f>
        <v/>
      </c>
      <c r="F65" s="156">
        <f>IF($Z65="","",INDEX(T_ID,$Z65))</f>
        <v/>
      </c>
      <c r="G65" s="153">
        <f>IF($Z65="","",INDEX(T_Task,$Z65))</f>
        <v/>
      </c>
      <c r="H65" s="154">
        <f>IF($Z65="","",INDEX(T_Due,$Z65))</f>
        <v/>
      </c>
      <c r="I65" s="155">
        <f>IF($Z65="","",INDEX(T_Eff,$Z65))</f>
        <v/>
      </c>
      <c r="K65" s="157">
        <f>IF($AA65="","",INDEX(T_ID,$AA65))</f>
        <v/>
      </c>
      <c r="L65" s="153">
        <f>IF($AA65="","",INDEX(T_Task,$AA65))</f>
        <v/>
      </c>
      <c r="M65" s="154">
        <f>IF($AA65="","",INDEX(T_Due,$AA65))</f>
        <v/>
      </c>
      <c r="N65" s="155">
        <f>IF($AA65="","",INDEX(T_Eff,$AA65))</f>
        <v/>
      </c>
      <c r="P65" s="158">
        <f>IF($AB65="","",INDEX(T_ID,$AB65))</f>
        <v/>
      </c>
      <c r="Q65" s="153">
        <f>IF($AB65="","",INDEX(T_Task,$AB65))</f>
        <v/>
      </c>
      <c r="R65" s="154">
        <f>IF($AB65="","",INDEX(T_Due,$AB65))</f>
        <v/>
      </c>
      <c r="S65" s="155">
        <f>IF($AB65="","",INDEX(T_Eff,$AB65))</f>
        <v/>
      </c>
      <c r="Y65">
        <f>IFERROR(MATCH(SMALL(T_Ariel,59),T_Ariel,0),"")</f>
        <v/>
      </c>
      <c r="Z65">
        <f>IFERROR(MATCH(SMALL(T_Rinat,59),T_Rinat,0),"")</f>
        <v/>
      </c>
      <c r="AA65">
        <f>IFERROR(MATCH(SMALL(T_Tamar,59),T_Tamar,0),"")</f>
        <v/>
      </c>
      <c r="AB65">
        <f>IFERROR(MATCH(SMALL(T_Other,59),T_Other,0),"")</f>
        <v/>
      </c>
    </row>
    <row r="66">
      <c r="A66" s="152">
        <f>IF($Y66="","",INDEX(T_ID,$Y66))</f>
        <v/>
      </c>
      <c r="B66" s="153">
        <f>IF($Y66="","",INDEX(T_Task,$Y66))</f>
        <v/>
      </c>
      <c r="C66" s="154">
        <f>IF($Y66="","",INDEX(T_Due,$Y66))</f>
        <v/>
      </c>
      <c r="D66" s="155">
        <f>IF($Y66="","",INDEX(T_Eff,$Y66))</f>
        <v/>
      </c>
      <c r="F66" s="156">
        <f>IF($Z66="","",INDEX(T_ID,$Z66))</f>
        <v/>
      </c>
      <c r="G66" s="153">
        <f>IF($Z66="","",INDEX(T_Task,$Z66))</f>
        <v/>
      </c>
      <c r="H66" s="154">
        <f>IF($Z66="","",INDEX(T_Due,$Z66))</f>
        <v/>
      </c>
      <c r="I66" s="155">
        <f>IF($Z66="","",INDEX(T_Eff,$Z66))</f>
        <v/>
      </c>
      <c r="K66" s="157">
        <f>IF($AA66="","",INDEX(T_ID,$AA66))</f>
        <v/>
      </c>
      <c r="L66" s="153">
        <f>IF($AA66="","",INDEX(T_Task,$AA66))</f>
        <v/>
      </c>
      <c r="M66" s="154">
        <f>IF($AA66="","",INDEX(T_Due,$AA66))</f>
        <v/>
      </c>
      <c r="N66" s="155">
        <f>IF($AA66="","",INDEX(T_Eff,$AA66))</f>
        <v/>
      </c>
      <c r="P66" s="158">
        <f>IF($AB66="","",INDEX(T_ID,$AB66))</f>
        <v/>
      </c>
      <c r="Q66" s="153">
        <f>IF($AB66="","",INDEX(T_Task,$AB66))</f>
        <v/>
      </c>
      <c r="R66" s="154">
        <f>IF($AB66="","",INDEX(T_Due,$AB66))</f>
        <v/>
      </c>
      <c r="S66" s="155">
        <f>IF($AB66="","",INDEX(T_Eff,$AB66))</f>
        <v/>
      </c>
      <c r="Y66">
        <f>IFERROR(MATCH(SMALL(T_Ariel,60),T_Ariel,0),"")</f>
        <v/>
      </c>
      <c r="Z66">
        <f>IFERROR(MATCH(SMALL(T_Rinat,60),T_Rinat,0),"")</f>
        <v/>
      </c>
      <c r="AA66">
        <f>IFERROR(MATCH(SMALL(T_Tamar,60),T_Tamar,0),"")</f>
        <v/>
      </c>
      <c r="AB66">
        <f>IFERROR(MATCH(SMALL(T_Other,60),T_Other,0),"")</f>
        <v/>
      </c>
    </row>
    <row r="67">
      <c r="A67" s="152">
        <f>IF($Y67="","",INDEX(T_ID,$Y67))</f>
        <v/>
      </c>
      <c r="B67" s="153">
        <f>IF($Y67="","",INDEX(T_Task,$Y67))</f>
        <v/>
      </c>
      <c r="C67" s="154">
        <f>IF($Y67="","",INDEX(T_Due,$Y67))</f>
        <v/>
      </c>
      <c r="D67" s="155">
        <f>IF($Y67="","",INDEX(T_Eff,$Y67))</f>
        <v/>
      </c>
      <c r="F67" s="156">
        <f>IF($Z67="","",INDEX(T_ID,$Z67))</f>
        <v/>
      </c>
      <c r="G67" s="153">
        <f>IF($Z67="","",INDEX(T_Task,$Z67))</f>
        <v/>
      </c>
      <c r="H67" s="154">
        <f>IF($Z67="","",INDEX(T_Due,$Z67))</f>
        <v/>
      </c>
      <c r="I67" s="155">
        <f>IF($Z67="","",INDEX(T_Eff,$Z67))</f>
        <v/>
      </c>
      <c r="K67" s="157">
        <f>IF($AA67="","",INDEX(T_ID,$AA67))</f>
        <v/>
      </c>
      <c r="L67" s="153">
        <f>IF($AA67="","",INDEX(T_Task,$AA67))</f>
        <v/>
      </c>
      <c r="M67" s="154">
        <f>IF($AA67="","",INDEX(T_Due,$AA67))</f>
        <v/>
      </c>
      <c r="N67" s="155">
        <f>IF($AA67="","",INDEX(T_Eff,$AA67))</f>
        <v/>
      </c>
      <c r="P67" s="158">
        <f>IF($AB67="","",INDEX(T_ID,$AB67))</f>
        <v/>
      </c>
      <c r="Q67" s="153">
        <f>IF($AB67="","",INDEX(T_Task,$AB67))</f>
        <v/>
      </c>
      <c r="R67" s="154">
        <f>IF($AB67="","",INDEX(T_Due,$AB67))</f>
        <v/>
      </c>
      <c r="S67" s="155">
        <f>IF($AB67="","",INDEX(T_Eff,$AB67))</f>
        <v/>
      </c>
      <c r="Y67">
        <f>IFERROR(MATCH(SMALL(T_Ariel,61),T_Ariel,0),"")</f>
        <v/>
      </c>
      <c r="Z67">
        <f>IFERROR(MATCH(SMALL(T_Rinat,61),T_Rinat,0),"")</f>
        <v/>
      </c>
      <c r="AA67">
        <f>IFERROR(MATCH(SMALL(T_Tamar,61),T_Tamar,0),"")</f>
        <v/>
      </c>
      <c r="AB67">
        <f>IFERROR(MATCH(SMALL(T_Other,61),T_Other,0),"")</f>
        <v/>
      </c>
    </row>
    <row r="68">
      <c r="A68" s="152">
        <f>IF($Y68="","",INDEX(T_ID,$Y68))</f>
        <v/>
      </c>
      <c r="B68" s="153">
        <f>IF($Y68="","",INDEX(T_Task,$Y68))</f>
        <v/>
      </c>
      <c r="C68" s="154">
        <f>IF($Y68="","",INDEX(T_Due,$Y68))</f>
        <v/>
      </c>
      <c r="D68" s="155">
        <f>IF($Y68="","",INDEX(T_Eff,$Y68))</f>
        <v/>
      </c>
      <c r="F68" s="156">
        <f>IF($Z68="","",INDEX(T_ID,$Z68))</f>
        <v/>
      </c>
      <c r="G68" s="153">
        <f>IF($Z68="","",INDEX(T_Task,$Z68))</f>
        <v/>
      </c>
      <c r="H68" s="154">
        <f>IF($Z68="","",INDEX(T_Due,$Z68))</f>
        <v/>
      </c>
      <c r="I68" s="155">
        <f>IF($Z68="","",INDEX(T_Eff,$Z68))</f>
        <v/>
      </c>
      <c r="K68" s="157">
        <f>IF($AA68="","",INDEX(T_ID,$AA68))</f>
        <v/>
      </c>
      <c r="L68" s="153">
        <f>IF($AA68="","",INDEX(T_Task,$AA68))</f>
        <v/>
      </c>
      <c r="M68" s="154">
        <f>IF($AA68="","",INDEX(T_Due,$AA68))</f>
        <v/>
      </c>
      <c r="N68" s="155">
        <f>IF($AA68="","",INDEX(T_Eff,$AA68))</f>
        <v/>
      </c>
      <c r="P68" s="158">
        <f>IF($AB68="","",INDEX(T_ID,$AB68))</f>
        <v/>
      </c>
      <c r="Q68" s="153">
        <f>IF($AB68="","",INDEX(T_Task,$AB68))</f>
        <v/>
      </c>
      <c r="R68" s="154">
        <f>IF($AB68="","",INDEX(T_Due,$AB68))</f>
        <v/>
      </c>
      <c r="S68" s="155">
        <f>IF($AB68="","",INDEX(T_Eff,$AB68))</f>
        <v/>
      </c>
      <c r="Y68">
        <f>IFERROR(MATCH(SMALL(T_Ariel,62),T_Ariel,0),"")</f>
        <v/>
      </c>
      <c r="Z68">
        <f>IFERROR(MATCH(SMALL(T_Rinat,62),T_Rinat,0),"")</f>
        <v/>
      </c>
      <c r="AA68">
        <f>IFERROR(MATCH(SMALL(T_Tamar,62),T_Tamar,0),"")</f>
        <v/>
      </c>
      <c r="AB68">
        <f>IFERROR(MATCH(SMALL(T_Other,62),T_Other,0),"")</f>
        <v/>
      </c>
    </row>
    <row r="69">
      <c r="A69" s="152">
        <f>IF($Y69="","",INDEX(T_ID,$Y69))</f>
        <v/>
      </c>
      <c r="B69" s="153">
        <f>IF($Y69="","",INDEX(T_Task,$Y69))</f>
        <v/>
      </c>
      <c r="C69" s="154">
        <f>IF($Y69="","",INDEX(T_Due,$Y69))</f>
        <v/>
      </c>
      <c r="D69" s="155">
        <f>IF($Y69="","",INDEX(T_Eff,$Y69))</f>
        <v/>
      </c>
      <c r="F69" s="156">
        <f>IF($Z69="","",INDEX(T_ID,$Z69))</f>
        <v/>
      </c>
      <c r="G69" s="153">
        <f>IF($Z69="","",INDEX(T_Task,$Z69))</f>
        <v/>
      </c>
      <c r="H69" s="154">
        <f>IF($Z69="","",INDEX(T_Due,$Z69))</f>
        <v/>
      </c>
      <c r="I69" s="155">
        <f>IF($Z69="","",INDEX(T_Eff,$Z69))</f>
        <v/>
      </c>
      <c r="K69" s="157">
        <f>IF($AA69="","",INDEX(T_ID,$AA69))</f>
        <v/>
      </c>
      <c r="L69" s="153">
        <f>IF($AA69="","",INDEX(T_Task,$AA69))</f>
        <v/>
      </c>
      <c r="M69" s="154">
        <f>IF($AA69="","",INDEX(T_Due,$AA69))</f>
        <v/>
      </c>
      <c r="N69" s="155">
        <f>IF($AA69="","",INDEX(T_Eff,$AA69))</f>
        <v/>
      </c>
      <c r="P69" s="158">
        <f>IF($AB69="","",INDEX(T_ID,$AB69))</f>
        <v/>
      </c>
      <c r="Q69" s="153">
        <f>IF($AB69="","",INDEX(T_Task,$AB69))</f>
        <v/>
      </c>
      <c r="R69" s="154">
        <f>IF($AB69="","",INDEX(T_Due,$AB69))</f>
        <v/>
      </c>
      <c r="S69" s="155">
        <f>IF($AB69="","",INDEX(T_Eff,$AB69))</f>
        <v/>
      </c>
      <c r="Y69">
        <f>IFERROR(MATCH(SMALL(T_Ariel,63),T_Ariel,0),"")</f>
        <v/>
      </c>
      <c r="Z69">
        <f>IFERROR(MATCH(SMALL(T_Rinat,63),T_Rinat,0),"")</f>
        <v/>
      </c>
      <c r="AA69">
        <f>IFERROR(MATCH(SMALL(T_Tamar,63),T_Tamar,0),"")</f>
        <v/>
      </c>
      <c r="AB69">
        <f>IFERROR(MATCH(SMALL(T_Other,63),T_Other,0),"")</f>
        <v/>
      </c>
    </row>
    <row r="70">
      <c r="A70" s="152">
        <f>IF($Y70="","",INDEX(T_ID,$Y70))</f>
        <v/>
      </c>
      <c r="B70" s="153">
        <f>IF($Y70="","",INDEX(T_Task,$Y70))</f>
        <v/>
      </c>
      <c r="C70" s="154">
        <f>IF($Y70="","",INDEX(T_Due,$Y70))</f>
        <v/>
      </c>
      <c r="D70" s="155">
        <f>IF($Y70="","",INDEX(T_Eff,$Y70))</f>
        <v/>
      </c>
      <c r="F70" s="156">
        <f>IF($Z70="","",INDEX(T_ID,$Z70))</f>
        <v/>
      </c>
      <c r="G70" s="153">
        <f>IF($Z70="","",INDEX(T_Task,$Z70))</f>
        <v/>
      </c>
      <c r="H70" s="154">
        <f>IF($Z70="","",INDEX(T_Due,$Z70))</f>
        <v/>
      </c>
      <c r="I70" s="155">
        <f>IF($Z70="","",INDEX(T_Eff,$Z70))</f>
        <v/>
      </c>
      <c r="K70" s="157">
        <f>IF($AA70="","",INDEX(T_ID,$AA70))</f>
        <v/>
      </c>
      <c r="L70" s="153">
        <f>IF($AA70="","",INDEX(T_Task,$AA70))</f>
        <v/>
      </c>
      <c r="M70" s="154">
        <f>IF($AA70="","",INDEX(T_Due,$AA70))</f>
        <v/>
      </c>
      <c r="N70" s="155">
        <f>IF($AA70="","",INDEX(T_Eff,$AA70))</f>
        <v/>
      </c>
      <c r="P70" s="158">
        <f>IF($AB70="","",INDEX(T_ID,$AB70))</f>
        <v/>
      </c>
      <c r="Q70" s="153">
        <f>IF($AB70="","",INDEX(T_Task,$AB70))</f>
        <v/>
      </c>
      <c r="R70" s="154">
        <f>IF($AB70="","",INDEX(T_Due,$AB70))</f>
        <v/>
      </c>
      <c r="S70" s="155">
        <f>IF($AB70="","",INDEX(T_Eff,$AB70))</f>
        <v/>
      </c>
      <c r="Y70">
        <f>IFERROR(MATCH(SMALL(T_Ariel,64),T_Ariel,0),"")</f>
        <v/>
      </c>
      <c r="Z70">
        <f>IFERROR(MATCH(SMALL(T_Rinat,64),T_Rinat,0),"")</f>
        <v/>
      </c>
      <c r="AA70">
        <f>IFERROR(MATCH(SMALL(T_Tamar,64),T_Tamar,0),"")</f>
        <v/>
      </c>
      <c r="AB70">
        <f>IFERROR(MATCH(SMALL(T_Other,64),T_Other,0),"")</f>
        <v/>
      </c>
    </row>
    <row r="71">
      <c r="A71" s="152">
        <f>IF($Y71="","",INDEX(T_ID,$Y71))</f>
        <v/>
      </c>
      <c r="B71" s="153">
        <f>IF($Y71="","",INDEX(T_Task,$Y71))</f>
        <v/>
      </c>
      <c r="C71" s="154">
        <f>IF($Y71="","",INDEX(T_Due,$Y71))</f>
        <v/>
      </c>
      <c r="D71" s="155">
        <f>IF($Y71="","",INDEX(T_Eff,$Y71))</f>
        <v/>
      </c>
      <c r="F71" s="156">
        <f>IF($Z71="","",INDEX(T_ID,$Z71))</f>
        <v/>
      </c>
      <c r="G71" s="153">
        <f>IF($Z71="","",INDEX(T_Task,$Z71))</f>
        <v/>
      </c>
      <c r="H71" s="154">
        <f>IF($Z71="","",INDEX(T_Due,$Z71))</f>
        <v/>
      </c>
      <c r="I71" s="155">
        <f>IF($Z71="","",INDEX(T_Eff,$Z71))</f>
        <v/>
      </c>
      <c r="K71" s="157">
        <f>IF($AA71="","",INDEX(T_ID,$AA71))</f>
        <v/>
      </c>
      <c r="L71" s="153">
        <f>IF($AA71="","",INDEX(T_Task,$AA71))</f>
        <v/>
      </c>
      <c r="M71" s="154">
        <f>IF($AA71="","",INDEX(T_Due,$AA71))</f>
        <v/>
      </c>
      <c r="N71" s="155">
        <f>IF($AA71="","",INDEX(T_Eff,$AA71))</f>
        <v/>
      </c>
      <c r="P71" s="158">
        <f>IF($AB71="","",INDEX(T_ID,$AB71))</f>
        <v/>
      </c>
      <c r="Q71" s="153">
        <f>IF($AB71="","",INDEX(T_Task,$AB71))</f>
        <v/>
      </c>
      <c r="R71" s="154">
        <f>IF($AB71="","",INDEX(T_Due,$AB71))</f>
        <v/>
      </c>
      <c r="S71" s="155">
        <f>IF($AB71="","",INDEX(T_Eff,$AB71))</f>
        <v/>
      </c>
      <c r="Y71">
        <f>IFERROR(MATCH(SMALL(T_Ariel,65),T_Ariel,0),"")</f>
        <v/>
      </c>
      <c r="Z71">
        <f>IFERROR(MATCH(SMALL(T_Rinat,65),T_Rinat,0),"")</f>
        <v/>
      </c>
      <c r="AA71">
        <f>IFERROR(MATCH(SMALL(T_Tamar,65),T_Tamar,0),"")</f>
        <v/>
      </c>
      <c r="AB71">
        <f>IFERROR(MATCH(SMALL(T_Other,65),T_Other,0),"")</f>
        <v/>
      </c>
    </row>
    <row r="72">
      <c r="A72" s="152">
        <f>IF($Y72="","",INDEX(T_ID,$Y72))</f>
        <v/>
      </c>
      <c r="B72" s="153">
        <f>IF($Y72="","",INDEX(T_Task,$Y72))</f>
        <v/>
      </c>
      <c r="C72" s="154">
        <f>IF($Y72="","",INDEX(T_Due,$Y72))</f>
        <v/>
      </c>
      <c r="D72" s="155">
        <f>IF($Y72="","",INDEX(T_Eff,$Y72))</f>
        <v/>
      </c>
      <c r="F72" s="156">
        <f>IF($Z72="","",INDEX(T_ID,$Z72))</f>
        <v/>
      </c>
      <c r="G72" s="153">
        <f>IF($Z72="","",INDEX(T_Task,$Z72))</f>
        <v/>
      </c>
      <c r="H72" s="154">
        <f>IF($Z72="","",INDEX(T_Due,$Z72))</f>
        <v/>
      </c>
      <c r="I72" s="155">
        <f>IF($Z72="","",INDEX(T_Eff,$Z72))</f>
        <v/>
      </c>
      <c r="K72" s="157">
        <f>IF($AA72="","",INDEX(T_ID,$AA72))</f>
        <v/>
      </c>
      <c r="L72" s="153">
        <f>IF($AA72="","",INDEX(T_Task,$AA72))</f>
        <v/>
      </c>
      <c r="M72" s="154">
        <f>IF($AA72="","",INDEX(T_Due,$AA72))</f>
        <v/>
      </c>
      <c r="N72" s="155">
        <f>IF($AA72="","",INDEX(T_Eff,$AA72))</f>
        <v/>
      </c>
      <c r="P72" s="158">
        <f>IF($AB72="","",INDEX(T_ID,$AB72))</f>
        <v/>
      </c>
      <c r="Q72" s="153">
        <f>IF($AB72="","",INDEX(T_Task,$AB72))</f>
        <v/>
      </c>
      <c r="R72" s="154">
        <f>IF($AB72="","",INDEX(T_Due,$AB72))</f>
        <v/>
      </c>
      <c r="S72" s="155">
        <f>IF($AB72="","",INDEX(T_Eff,$AB72))</f>
        <v/>
      </c>
      <c r="Y72">
        <f>IFERROR(MATCH(SMALL(T_Ariel,66),T_Ariel,0),"")</f>
        <v/>
      </c>
      <c r="Z72">
        <f>IFERROR(MATCH(SMALL(T_Rinat,66),T_Rinat,0),"")</f>
        <v/>
      </c>
      <c r="AA72">
        <f>IFERROR(MATCH(SMALL(T_Tamar,66),T_Tamar,0),"")</f>
        <v/>
      </c>
      <c r="AB72">
        <f>IFERROR(MATCH(SMALL(T_Other,66),T_Other,0),"")</f>
        <v/>
      </c>
    </row>
  </sheetData>
  <mergeCells count="10">
    <mergeCell ref="A5:D5"/>
    <mergeCell ref="P5:S5"/>
    <mergeCell ref="K4:N4"/>
    <mergeCell ref="A4:D4"/>
    <mergeCell ref="F4:I4"/>
    <mergeCell ref="A1:S1"/>
    <mergeCell ref="P4:S4"/>
    <mergeCell ref="F5:I5"/>
    <mergeCell ref="A2:S2"/>
    <mergeCell ref="K5:N5"/>
  </mergeCells>
  <conditionalFormatting sqref="A7:D72">
    <cfRule type="expression" priority="1" dxfId="31">
      <formula>AND($A7&lt;&gt;"",MOD(ROW(),2)=0)</formula>
    </cfRule>
    <cfRule type="expression" priority="2" dxfId="32">
      <formula>$A7&lt;&gt;""</formula>
    </cfRule>
  </conditionalFormatting>
  <conditionalFormatting sqref="D7:D72">
    <cfRule type="expression" priority="3" dxfId="2" stopIfTrue="0">
      <formula>$D7="לא התחיל"</formula>
    </cfRule>
    <cfRule type="expression" priority="4" dxfId="3" stopIfTrue="0">
      <formula>$D7="בתהליך"</formula>
    </cfRule>
    <cfRule type="expression" priority="5" dxfId="4" stopIfTrue="0">
      <formula>$D7="ממתין"</formula>
    </cfRule>
    <cfRule type="expression" priority="6" dxfId="5" stopIfTrue="0">
      <formula>$D7="תקוע"</formula>
    </cfRule>
    <cfRule type="expression" priority="7" dxfId="6" stopIfTrue="0">
      <formula>$D7="באיחור"</formula>
    </cfRule>
    <cfRule type="expression" priority="8" dxfId="7" stopIfTrue="0">
      <formula>$D7="הושלם"</formula>
    </cfRule>
    <cfRule type="expression" priority="9" dxfId="8" stopIfTrue="0">
      <formula>$D7="בוטל"</formula>
    </cfRule>
  </conditionalFormatting>
  <conditionalFormatting sqref="C7:C72">
    <cfRule type="expression" priority="10" dxfId="9">
      <formula>AND(ISNUMBER($C7),$C7&lt;Today_)</formula>
    </cfRule>
  </conditionalFormatting>
  <conditionalFormatting sqref="F7:I72">
    <cfRule type="expression" priority="11" dxfId="33">
      <formula>AND($F7&lt;&gt;"",MOD(ROW(),2)=0)</formula>
    </cfRule>
    <cfRule type="expression" priority="12" dxfId="32">
      <formula>$F7&lt;&gt;""</formula>
    </cfRule>
  </conditionalFormatting>
  <conditionalFormatting sqref="I7:I72">
    <cfRule type="expression" priority="13" dxfId="2" stopIfTrue="0">
      <formula>$I7="לא התחיל"</formula>
    </cfRule>
    <cfRule type="expression" priority="14" dxfId="3" stopIfTrue="0">
      <formula>$I7="בתהליך"</formula>
    </cfRule>
    <cfRule type="expression" priority="15" dxfId="4" stopIfTrue="0">
      <formula>$I7="ממתין"</formula>
    </cfRule>
    <cfRule type="expression" priority="16" dxfId="5" stopIfTrue="0">
      <formula>$I7="תקוע"</formula>
    </cfRule>
    <cfRule type="expression" priority="17" dxfId="6" stopIfTrue="0">
      <formula>$I7="באיחור"</formula>
    </cfRule>
    <cfRule type="expression" priority="18" dxfId="7" stopIfTrue="0">
      <formula>$I7="הושלם"</formula>
    </cfRule>
    <cfRule type="expression" priority="19" dxfId="8" stopIfTrue="0">
      <formula>$I7="בוטל"</formula>
    </cfRule>
  </conditionalFormatting>
  <conditionalFormatting sqref="H7:H72">
    <cfRule type="expression" priority="20" dxfId="9">
      <formula>AND(ISNUMBER($H7),$H7&lt;Today_)</formula>
    </cfRule>
  </conditionalFormatting>
  <conditionalFormatting sqref="K7:N72">
    <cfRule type="expression" priority="21" dxfId="34">
      <formula>AND($K7&lt;&gt;"",MOD(ROW(),2)=0)</formula>
    </cfRule>
    <cfRule type="expression" priority="22" dxfId="32">
      <formula>$K7&lt;&gt;""</formula>
    </cfRule>
  </conditionalFormatting>
  <conditionalFormatting sqref="N7:N72">
    <cfRule type="expression" priority="23" dxfId="2" stopIfTrue="0">
      <formula>$N7="לא התחיל"</formula>
    </cfRule>
    <cfRule type="expression" priority="24" dxfId="3" stopIfTrue="0">
      <formula>$N7="בתהליך"</formula>
    </cfRule>
    <cfRule type="expression" priority="25" dxfId="4" stopIfTrue="0">
      <formula>$N7="ממתין"</formula>
    </cfRule>
    <cfRule type="expression" priority="26" dxfId="5" stopIfTrue="0">
      <formula>$N7="תקוע"</formula>
    </cfRule>
    <cfRule type="expression" priority="27" dxfId="6" stopIfTrue="0">
      <formula>$N7="באיחור"</formula>
    </cfRule>
    <cfRule type="expression" priority="28" dxfId="7" stopIfTrue="0">
      <formula>$N7="הושלם"</formula>
    </cfRule>
    <cfRule type="expression" priority="29" dxfId="8" stopIfTrue="0">
      <formula>$N7="בוטל"</formula>
    </cfRule>
  </conditionalFormatting>
  <conditionalFormatting sqref="M7:M72">
    <cfRule type="expression" priority="30" dxfId="9">
      <formula>AND(ISNUMBER($M7),$M7&lt;Today_)</formula>
    </cfRule>
  </conditionalFormatting>
  <conditionalFormatting sqref="P7:S72">
    <cfRule type="expression" priority="31" dxfId="35">
      <formula>AND($P7&lt;&gt;"",MOD(ROW(),2)=0)</formula>
    </cfRule>
    <cfRule type="expression" priority="32" dxfId="32">
      <formula>$P7&lt;&gt;""</formula>
    </cfRule>
  </conditionalFormatting>
  <conditionalFormatting sqref="S7:S72">
    <cfRule type="expression" priority="33" dxfId="2" stopIfTrue="0">
      <formula>$S7="לא התחיל"</formula>
    </cfRule>
    <cfRule type="expression" priority="34" dxfId="3" stopIfTrue="0">
      <formula>$S7="בתהליך"</formula>
    </cfRule>
    <cfRule type="expression" priority="35" dxfId="4" stopIfTrue="0">
      <formula>$S7="ממתין"</formula>
    </cfRule>
    <cfRule type="expression" priority="36" dxfId="5" stopIfTrue="0">
      <formula>$S7="תקוע"</formula>
    </cfRule>
    <cfRule type="expression" priority="37" dxfId="6" stopIfTrue="0">
      <formula>$S7="באיחור"</formula>
    </cfRule>
    <cfRule type="expression" priority="38" dxfId="7" stopIfTrue="0">
      <formula>$S7="הושלם"</formula>
    </cfRule>
    <cfRule type="expression" priority="39" dxfId="8" stopIfTrue="0">
      <formula>$S7="בוטל"</formula>
    </cfRule>
  </conditionalFormatting>
  <conditionalFormatting sqref="R7:R72">
    <cfRule type="expression" priority="40" dxfId="9">
      <formula>AND(ISNUMBER($R7),$R7&lt;Today_)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 fitToPage="1"/>
  </sheetPr>
  <dimension ref="B1:P76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2" customWidth="1" min="8" max="8"/>
    <col width="2" customWidth="1" min="9" max="9"/>
    <col width="2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 ht="38" customHeight="1">
      <c r="B1" s="159" t="inlineStr">
        <is>
          <t>🗂️ קנבן — לוח משימות לפי מצב</t>
        </is>
      </c>
      <c r="C1" s="159" t="n"/>
      <c r="D1" s="159" t="n"/>
      <c r="E1" s="159" t="n"/>
      <c r="F1" s="159" t="n"/>
      <c r="G1" s="159" t="n"/>
    </row>
    <row r="2" ht="20" customHeight="1">
      <c r="B2" s="3" t="inlineStr">
        <is>
          <t>מתעדכן אוטומטית מלשונית המשימות · בכל עמודה ממוין לפי תאריך יעד · לשינוי מצב: עדכנו את "סטטוס" בלשונית משימות</t>
        </is>
      </c>
      <c r="C2" s="3" t="n"/>
      <c r="D2" s="3" t="n"/>
      <c r="E2" s="3" t="n"/>
      <c r="F2" s="3" t="n"/>
      <c r="G2" s="3" t="n"/>
    </row>
    <row r="4">
      <c r="B4" s="160" t="inlineStr">
        <is>
          <t>⚪ לא התחיל</t>
        </is>
      </c>
      <c r="C4" s="161" t="inlineStr">
        <is>
          <t>🔵 בתהליך</t>
        </is>
      </c>
      <c r="D4" s="162" t="inlineStr">
        <is>
          <t>🟡 ממתין / 🟣 תקוע</t>
        </is>
      </c>
      <c r="E4" s="163" t="inlineStr">
        <is>
          <t>🔴 באיחור</t>
        </is>
      </c>
      <c r="F4" s="164" t="inlineStr">
        <is>
          <t>🟢 הושלם</t>
        </is>
      </c>
      <c r="G4" s="165" t="inlineStr">
        <is>
          <t>⚫ בוטל</t>
        </is>
      </c>
    </row>
    <row r="5">
      <c r="B5" s="147">
        <f>COUNTIFS(T_Kan,"&gt;="&amp;1*100000,T_Kan,"&lt;"&amp;2*100000)&amp;" משימות"</f>
        <v/>
      </c>
      <c r="C5" s="166">
        <f>COUNTIFS(T_Kan,"&gt;="&amp;2*100000,T_Kan,"&lt;"&amp;3*100000)&amp;" משימות"</f>
        <v/>
      </c>
      <c r="D5" s="167">
        <f>COUNTIFS(T_Kan,"&gt;="&amp;3*100000,T_Kan,"&lt;"&amp;4*100000)&amp;" משימות"</f>
        <v/>
      </c>
      <c r="E5" s="168">
        <f>COUNTIFS(T_Kan,"&gt;="&amp;4*100000,T_Kan,"&lt;"&amp;5*100000)&amp;" משימות"</f>
        <v/>
      </c>
      <c r="F5" s="169">
        <f>COUNTIFS(T_Kan,"&gt;="&amp;5*100000,T_Kan,"&lt;"&amp;6*100000)&amp;" משימות"</f>
        <v/>
      </c>
      <c r="G5" s="170">
        <f>COUNTIFS(T_Kan,"&gt;="&amp;6*100000,T_Kan,"&lt;"&amp;7*100000)&amp;" משימות"</f>
        <v/>
      </c>
    </row>
    <row r="6" ht="46" customHeight="1">
      <c r="B6" s="153">
        <f>IF($K6="","",INDEX(T_ID,$K6)&amp;"  ·  "&amp;INDEX(T_Task,$K6)&amp;CHAR(10)&amp;"👤 "&amp;INDEX(T_Owner,$K6)&amp;"   🎯 "&amp;IF(ISNUMBER(INDEX(T_Due,$K6)),TEXT(INDEX(T_Due,$K6),"dd/mm/yy"),"—")&amp;IF(INDEX(T_Prio,$K6)="גבוהה","   🔥","")&amp;IF(INDEX(T_Eff,$K6)="תקוע","   ⛔ תקוע",""))</f>
        <v/>
      </c>
      <c r="C6" s="153">
        <f>IF($L6="","",INDEX(T_ID,$L6)&amp;"  ·  "&amp;INDEX(T_Task,$L6)&amp;CHAR(10)&amp;"👤 "&amp;INDEX(T_Owner,$L6)&amp;"   🎯 "&amp;IF(ISNUMBER(INDEX(T_Due,$L6)),TEXT(INDEX(T_Due,$L6),"dd/mm/yy"),"—")&amp;IF(INDEX(T_Prio,$L6)="גבוהה","   🔥","")&amp;IF(INDEX(T_Eff,$L6)="תקוע","   ⛔ תקוע",""))</f>
        <v/>
      </c>
      <c r="D6" s="153">
        <f>IF($M6="","",INDEX(T_ID,$M6)&amp;"  ·  "&amp;INDEX(T_Task,$M6)&amp;CHAR(10)&amp;"👤 "&amp;INDEX(T_Owner,$M6)&amp;"   🎯 "&amp;IF(ISNUMBER(INDEX(T_Due,$M6)),TEXT(INDEX(T_Due,$M6),"dd/mm/yy"),"—")&amp;IF(INDEX(T_Prio,$M6)="גבוהה","   🔥","")&amp;IF(INDEX(T_Eff,$M6)="תקוע","   ⛔ תקוע",""))</f>
        <v/>
      </c>
      <c r="E6" s="153">
        <f>IF($N6="","",INDEX(T_ID,$N6)&amp;"  ·  "&amp;INDEX(T_Task,$N6)&amp;CHAR(10)&amp;"👤 "&amp;INDEX(T_Owner,$N6)&amp;"   🎯 "&amp;IF(ISNUMBER(INDEX(T_Due,$N6)),TEXT(INDEX(T_Due,$N6),"dd/mm/yy"),"—")&amp;IF(INDEX(T_Prio,$N6)="גבוהה","   🔥","")&amp;IF(INDEX(T_Eff,$N6)="תקוע","   ⛔ תקוע",""))</f>
        <v/>
      </c>
      <c r="F6" s="153">
        <f>IF($O6="","",INDEX(T_ID,$O6)&amp;"  ·  "&amp;INDEX(T_Task,$O6)&amp;CHAR(10)&amp;"👤 "&amp;INDEX(T_Owner,$O6)&amp;"   🎯 "&amp;IF(ISNUMBER(INDEX(T_Due,$O6)),TEXT(INDEX(T_Due,$O6),"dd/mm/yy"),"—")&amp;IF(INDEX(T_Prio,$O6)="גבוהה","   🔥","")&amp;IF(INDEX(T_Eff,$O6)="תקוע","   ⛔ תקוע",""))</f>
        <v/>
      </c>
      <c r="G6" s="153">
        <f>IF($P6="","",INDEX(T_ID,$P6)&amp;"  ·  "&amp;INDEX(T_Task,$P6)&amp;CHAR(10)&amp;"👤 "&amp;INDEX(T_Owner,$P6)&amp;"   🎯 "&amp;IF(ISNUMBER(INDEX(T_Due,$P6)),TEXT(INDEX(T_Due,$P6),"dd/mm/yy"),"—")&amp;IF(INDEX(T_Prio,$P6)="גבוהה","   🔥","")&amp;IF(INDEX(T_Eff,$P6)="תקוע","   ⛔ תקוע",""))</f>
        <v/>
      </c>
      <c r="K6">
        <f>IFERROR(IF(SMALL(T_Kan,COUNTIF(T_Kan,"&lt;"&amp;1*100000)+1)&lt;2*100000,MATCH(SMALL(T_Kan,COUNTIF(T_Kan,"&lt;"&amp;1*100000)+1),T_Kan,0),""),"")</f>
        <v/>
      </c>
      <c r="L6">
        <f>IFERROR(IF(SMALL(T_Kan,COUNTIF(T_Kan,"&lt;"&amp;2*100000)+1)&lt;3*100000,MATCH(SMALL(T_Kan,COUNTIF(T_Kan,"&lt;"&amp;2*100000)+1),T_Kan,0),""),"")</f>
        <v/>
      </c>
      <c r="M6">
        <f>IFERROR(IF(SMALL(T_Kan,COUNTIF(T_Kan,"&lt;"&amp;3*100000)+1)&lt;4*100000,MATCH(SMALL(T_Kan,COUNTIF(T_Kan,"&lt;"&amp;3*100000)+1),T_Kan,0),""),"")</f>
        <v/>
      </c>
      <c r="N6">
        <f>IFERROR(IF(SMALL(T_Kan,COUNTIF(T_Kan,"&lt;"&amp;4*100000)+1)&lt;5*100000,MATCH(SMALL(T_Kan,COUNTIF(T_Kan,"&lt;"&amp;4*100000)+1),T_Kan,0),""),"")</f>
        <v/>
      </c>
      <c r="O6">
        <f>IFERROR(IF(SMALL(T_Kan,COUNTIF(T_Kan,"&lt;"&amp;5*100000)+1)&lt;6*100000,MATCH(SMALL(T_Kan,COUNTIF(T_Kan,"&lt;"&amp;5*100000)+1),T_Kan,0),""),"")</f>
        <v/>
      </c>
      <c r="P6">
        <f>IFERROR(IF(SMALL(T_Kan,COUNTIF(T_Kan,"&lt;"&amp;6*100000)+1)&lt;7*100000,MATCH(SMALL(T_Kan,COUNTIF(T_Kan,"&lt;"&amp;6*100000)+1),T_Kan,0),""),"")</f>
        <v/>
      </c>
    </row>
    <row r="7" ht="46" customHeight="1">
      <c r="B7" s="153">
        <f>IF($K7="","",INDEX(T_ID,$K7)&amp;"  ·  "&amp;INDEX(T_Task,$K7)&amp;CHAR(10)&amp;"👤 "&amp;INDEX(T_Owner,$K7)&amp;"   🎯 "&amp;IF(ISNUMBER(INDEX(T_Due,$K7)),TEXT(INDEX(T_Due,$K7),"dd/mm/yy"),"—")&amp;IF(INDEX(T_Prio,$K7)="גבוהה","   🔥","")&amp;IF(INDEX(T_Eff,$K7)="תקוע","   ⛔ תקוע",""))</f>
        <v/>
      </c>
      <c r="C7" s="153">
        <f>IF($L7="","",INDEX(T_ID,$L7)&amp;"  ·  "&amp;INDEX(T_Task,$L7)&amp;CHAR(10)&amp;"👤 "&amp;INDEX(T_Owner,$L7)&amp;"   🎯 "&amp;IF(ISNUMBER(INDEX(T_Due,$L7)),TEXT(INDEX(T_Due,$L7),"dd/mm/yy"),"—")&amp;IF(INDEX(T_Prio,$L7)="גבוהה","   🔥","")&amp;IF(INDEX(T_Eff,$L7)="תקוע","   ⛔ תקוע",""))</f>
        <v/>
      </c>
      <c r="D7" s="153">
        <f>IF($M7="","",INDEX(T_ID,$M7)&amp;"  ·  "&amp;INDEX(T_Task,$M7)&amp;CHAR(10)&amp;"👤 "&amp;INDEX(T_Owner,$M7)&amp;"   🎯 "&amp;IF(ISNUMBER(INDEX(T_Due,$M7)),TEXT(INDEX(T_Due,$M7),"dd/mm/yy"),"—")&amp;IF(INDEX(T_Prio,$M7)="גבוהה","   🔥","")&amp;IF(INDEX(T_Eff,$M7)="תקוע","   ⛔ תקוע",""))</f>
        <v/>
      </c>
      <c r="E7" s="153">
        <f>IF($N7="","",INDEX(T_ID,$N7)&amp;"  ·  "&amp;INDEX(T_Task,$N7)&amp;CHAR(10)&amp;"👤 "&amp;INDEX(T_Owner,$N7)&amp;"   🎯 "&amp;IF(ISNUMBER(INDEX(T_Due,$N7)),TEXT(INDEX(T_Due,$N7),"dd/mm/yy"),"—")&amp;IF(INDEX(T_Prio,$N7)="גבוהה","   🔥","")&amp;IF(INDEX(T_Eff,$N7)="תקוע","   ⛔ תקוע",""))</f>
        <v/>
      </c>
      <c r="F7" s="153">
        <f>IF($O7="","",INDEX(T_ID,$O7)&amp;"  ·  "&amp;INDEX(T_Task,$O7)&amp;CHAR(10)&amp;"👤 "&amp;INDEX(T_Owner,$O7)&amp;"   🎯 "&amp;IF(ISNUMBER(INDEX(T_Due,$O7)),TEXT(INDEX(T_Due,$O7),"dd/mm/yy"),"—")&amp;IF(INDEX(T_Prio,$O7)="גבוהה","   🔥","")&amp;IF(INDEX(T_Eff,$O7)="תקוע","   ⛔ תקוע",""))</f>
        <v/>
      </c>
      <c r="G7" s="153">
        <f>IF($P7="","",INDEX(T_ID,$P7)&amp;"  ·  "&amp;INDEX(T_Task,$P7)&amp;CHAR(10)&amp;"👤 "&amp;INDEX(T_Owner,$P7)&amp;"   🎯 "&amp;IF(ISNUMBER(INDEX(T_Due,$P7)),TEXT(INDEX(T_Due,$P7),"dd/mm/yy"),"—")&amp;IF(INDEX(T_Prio,$P7)="גבוהה","   🔥","")&amp;IF(INDEX(T_Eff,$P7)="תקוע","   ⛔ תקוע",""))</f>
        <v/>
      </c>
      <c r="K7">
        <f>IFERROR(IF(SMALL(T_Kan,COUNTIF(T_Kan,"&lt;"&amp;1*100000)+2)&lt;2*100000,MATCH(SMALL(T_Kan,COUNTIF(T_Kan,"&lt;"&amp;1*100000)+2),T_Kan,0),""),"")</f>
        <v/>
      </c>
      <c r="L7">
        <f>IFERROR(IF(SMALL(T_Kan,COUNTIF(T_Kan,"&lt;"&amp;2*100000)+2)&lt;3*100000,MATCH(SMALL(T_Kan,COUNTIF(T_Kan,"&lt;"&amp;2*100000)+2),T_Kan,0),""),"")</f>
        <v/>
      </c>
      <c r="M7">
        <f>IFERROR(IF(SMALL(T_Kan,COUNTIF(T_Kan,"&lt;"&amp;3*100000)+2)&lt;4*100000,MATCH(SMALL(T_Kan,COUNTIF(T_Kan,"&lt;"&amp;3*100000)+2),T_Kan,0),""),"")</f>
        <v/>
      </c>
      <c r="N7">
        <f>IFERROR(IF(SMALL(T_Kan,COUNTIF(T_Kan,"&lt;"&amp;4*100000)+2)&lt;5*100000,MATCH(SMALL(T_Kan,COUNTIF(T_Kan,"&lt;"&amp;4*100000)+2),T_Kan,0),""),"")</f>
        <v/>
      </c>
      <c r="O7">
        <f>IFERROR(IF(SMALL(T_Kan,COUNTIF(T_Kan,"&lt;"&amp;5*100000)+2)&lt;6*100000,MATCH(SMALL(T_Kan,COUNTIF(T_Kan,"&lt;"&amp;5*100000)+2),T_Kan,0),""),"")</f>
        <v/>
      </c>
      <c r="P7">
        <f>IFERROR(IF(SMALL(T_Kan,COUNTIF(T_Kan,"&lt;"&amp;6*100000)+2)&lt;7*100000,MATCH(SMALL(T_Kan,COUNTIF(T_Kan,"&lt;"&amp;6*100000)+2),T_Kan,0),""),"")</f>
        <v/>
      </c>
    </row>
    <row r="8" ht="46" customHeight="1">
      <c r="B8" s="153">
        <f>IF($K8="","",INDEX(T_ID,$K8)&amp;"  ·  "&amp;INDEX(T_Task,$K8)&amp;CHAR(10)&amp;"👤 "&amp;INDEX(T_Owner,$K8)&amp;"   🎯 "&amp;IF(ISNUMBER(INDEX(T_Due,$K8)),TEXT(INDEX(T_Due,$K8),"dd/mm/yy"),"—")&amp;IF(INDEX(T_Prio,$K8)="גבוהה","   🔥","")&amp;IF(INDEX(T_Eff,$K8)="תקוע","   ⛔ תקוע",""))</f>
        <v/>
      </c>
      <c r="C8" s="153">
        <f>IF($L8="","",INDEX(T_ID,$L8)&amp;"  ·  "&amp;INDEX(T_Task,$L8)&amp;CHAR(10)&amp;"👤 "&amp;INDEX(T_Owner,$L8)&amp;"   🎯 "&amp;IF(ISNUMBER(INDEX(T_Due,$L8)),TEXT(INDEX(T_Due,$L8),"dd/mm/yy"),"—")&amp;IF(INDEX(T_Prio,$L8)="גבוהה","   🔥","")&amp;IF(INDEX(T_Eff,$L8)="תקוע","   ⛔ תקוע",""))</f>
        <v/>
      </c>
      <c r="D8" s="153">
        <f>IF($M8="","",INDEX(T_ID,$M8)&amp;"  ·  "&amp;INDEX(T_Task,$M8)&amp;CHAR(10)&amp;"👤 "&amp;INDEX(T_Owner,$M8)&amp;"   🎯 "&amp;IF(ISNUMBER(INDEX(T_Due,$M8)),TEXT(INDEX(T_Due,$M8),"dd/mm/yy"),"—")&amp;IF(INDEX(T_Prio,$M8)="גבוהה","   🔥","")&amp;IF(INDEX(T_Eff,$M8)="תקוע","   ⛔ תקוע",""))</f>
        <v/>
      </c>
      <c r="E8" s="153">
        <f>IF($N8="","",INDEX(T_ID,$N8)&amp;"  ·  "&amp;INDEX(T_Task,$N8)&amp;CHAR(10)&amp;"👤 "&amp;INDEX(T_Owner,$N8)&amp;"   🎯 "&amp;IF(ISNUMBER(INDEX(T_Due,$N8)),TEXT(INDEX(T_Due,$N8),"dd/mm/yy"),"—")&amp;IF(INDEX(T_Prio,$N8)="גבוהה","   🔥","")&amp;IF(INDEX(T_Eff,$N8)="תקוע","   ⛔ תקוע",""))</f>
        <v/>
      </c>
      <c r="F8" s="153">
        <f>IF($O8="","",INDEX(T_ID,$O8)&amp;"  ·  "&amp;INDEX(T_Task,$O8)&amp;CHAR(10)&amp;"👤 "&amp;INDEX(T_Owner,$O8)&amp;"   🎯 "&amp;IF(ISNUMBER(INDEX(T_Due,$O8)),TEXT(INDEX(T_Due,$O8),"dd/mm/yy"),"—")&amp;IF(INDEX(T_Prio,$O8)="גבוהה","   🔥","")&amp;IF(INDEX(T_Eff,$O8)="תקוע","   ⛔ תקוע",""))</f>
        <v/>
      </c>
      <c r="G8" s="153">
        <f>IF($P8="","",INDEX(T_ID,$P8)&amp;"  ·  "&amp;INDEX(T_Task,$P8)&amp;CHAR(10)&amp;"👤 "&amp;INDEX(T_Owner,$P8)&amp;"   🎯 "&amp;IF(ISNUMBER(INDEX(T_Due,$P8)),TEXT(INDEX(T_Due,$P8),"dd/mm/yy"),"—")&amp;IF(INDEX(T_Prio,$P8)="גבוהה","   🔥","")&amp;IF(INDEX(T_Eff,$P8)="תקוע","   ⛔ תקוע",""))</f>
        <v/>
      </c>
      <c r="K8">
        <f>IFERROR(IF(SMALL(T_Kan,COUNTIF(T_Kan,"&lt;"&amp;1*100000)+3)&lt;2*100000,MATCH(SMALL(T_Kan,COUNTIF(T_Kan,"&lt;"&amp;1*100000)+3),T_Kan,0),""),"")</f>
        <v/>
      </c>
      <c r="L8">
        <f>IFERROR(IF(SMALL(T_Kan,COUNTIF(T_Kan,"&lt;"&amp;2*100000)+3)&lt;3*100000,MATCH(SMALL(T_Kan,COUNTIF(T_Kan,"&lt;"&amp;2*100000)+3),T_Kan,0),""),"")</f>
        <v/>
      </c>
      <c r="M8">
        <f>IFERROR(IF(SMALL(T_Kan,COUNTIF(T_Kan,"&lt;"&amp;3*100000)+3)&lt;4*100000,MATCH(SMALL(T_Kan,COUNTIF(T_Kan,"&lt;"&amp;3*100000)+3),T_Kan,0),""),"")</f>
        <v/>
      </c>
      <c r="N8">
        <f>IFERROR(IF(SMALL(T_Kan,COUNTIF(T_Kan,"&lt;"&amp;4*100000)+3)&lt;5*100000,MATCH(SMALL(T_Kan,COUNTIF(T_Kan,"&lt;"&amp;4*100000)+3),T_Kan,0),""),"")</f>
        <v/>
      </c>
      <c r="O8">
        <f>IFERROR(IF(SMALL(T_Kan,COUNTIF(T_Kan,"&lt;"&amp;5*100000)+3)&lt;6*100000,MATCH(SMALL(T_Kan,COUNTIF(T_Kan,"&lt;"&amp;5*100000)+3),T_Kan,0),""),"")</f>
        <v/>
      </c>
      <c r="P8">
        <f>IFERROR(IF(SMALL(T_Kan,COUNTIF(T_Kan,"&lt;"&amp;6*100000)+3)&lt;7*100000,MATCH(SMALL(T_Kan,COUNTIF(T_Kan,"&lt;"&amp;6*100000)+3),T_Kan,0),""),"")</f>
        <v/>
      </c>
    </row>
    <row r="9" ht="46" customHeight="1">
      <c r="B9" s="153">
        <f>IF($K9="","",INDEX(T_ID,$K9)&amp;"  ·  "&amp;INDEX(T_Task,$K9)&amp;CHAR(10)&amp;"👤 "&amp;INDEX(T_Owner,$K9)&amp;"   🎯 "&amp;IF(ISNUMBER(INDEX(T_Due,$K9)),TEXT(INDEX(T_Due,$K9),"dd/mm/yy"),"—")&amp;IF(INDEX(T_Prio,$K9)="גבוהה","   🔥","")&amp;IF(INDEX(T_Eff,$K9)="תקוע","   ⛔ תקוע",""))</f>
        <v/>
      </c>
      <c r="C9" s="153">
        <f>IF($L9="","",INDEX(T_ID,$L9)&amp;"  ·  "&amp;INDEX(T_Task,$L9)&amp;CHAR(10)&amp;"👤 "&amp;INDEX(T_Owner,$L9)&amp;"   🎯 "&amp;IF(ISNUMBER(INDEX(T_Due,$L9)),TEXT(INDEX(T_Due,$L9),"dd/mm/yy"),"—")&amp;IF(INDEX(T_Prio,$L9)="גבוהה","   🔥","")&amp;IF(INDEX(T_Eff,$L9)="תקוע","   ⛔ תקוע",""))</f>
        <v/>
      </c>
      <c r="D9" s="153">
        <f>IF($M9="","",INDEX(T_ID,$M9)&amp;"  ·  "&amp;INDEX(T_Task,$M9)&amp;CHAR(10)&amp;"👤 "&amp;INDEX(T_Owner,$M9)&amp;"   🎯 "&amp;IF(ISNUMBER(INDEX(T_Due,$M9)),TEXT(INDEX(T_Due,$M9),"dd/mm/yy"),"—")&amp;IF(INDEX(T_Prio,$M9)="גבוהה","   🔥","")&amp;IF(INDEX(T_Eff,$M9)="תקוע","   ⛔ תקוע",""))</f>
        <v/>
      </c>
      <c r="E9" s="153">
        <f>IF($N9="","",INDEX(T_ID,$N9)&amp;"  ·  "&amp;INDEX(T_Task,$N9)&amp;CHAR(10)&amp;"👤 "&amp;INDEX(T_Owner,$N9)&amp;"   🎯 "&amp;IF(ISNUMBER(INDEX(T_Due,$N9)),TEXT(INDEX(T_Due,$N9),"dd/mm/yy"),"—")&amp;IF(INDEX(T_Prio,$N9)="גבוהה","   🔥","")&amp;IF(INDEX(T_Eff,$N9)="תקוע","   ⛔ תקוע",""))</f>
        <v/>
      </c>
      <c r="F9" s="153">
        <f>IF($O9="","",INDEX(T_ID,$O9)&amp;"  ·  "&amp;INDEX(T_Task,$O9)&amp;CHAR(10)&amp;"👤 "&amp;INDEX(T_Owner,$O9)&amp;"   🎯 "&amp;IF(ISNUMBER(INDEX(T_Due,$O9)),TEXT(INDEX(T_Due,$O9),"dd/mm/yy"),"—")&amp;IF(INDEX(T_Prio,$O9)="גבוהה","   🔥","")&amp;IF(INDEX(T_Eff,$O9)="תקוע","   ⛔ תקוע",""))</f>
        <v/>
      </c>
      <c r="G9" s="153">
        <f>IF($P9="","",INDEX(T_ID,$P9)&amp;"  ·  "&amp;INDEX(T_Task,$P9)&amp;CHAR(10)&amp;"👤 "&amp;INDEX(T_Owner,$P9)&amp;"   🎯 "&amp;IF(ISNUMBER(INDEX(T_Due,$P9)),TEXT(INDEX(T_Due,$P9),"dd/mm/yy"),"—")&amp;IF(INDEX(T_Prio,$P9)="גבוהה","   🔥","")&amp;IF(INDEX(T_Eff,$P9)="תקוע","   ⛔ תקוע",""))</f>
        <v/>
      </c>
      <c r="K9">
        <f>IFERROR(IF(SMALL(T_Kan,COUNTIF(T_Kan,"&lt;"&amp;1*100000)+4)&lt;2*100000,MATCH(SMALL(T_Kan,COUNTIF(T_Kan,"&lt;"&amp;1*100000)+4),T_Kan,0),""),"")</f>
        <v/>
      </c>
      <c r="L9">
        <f>IFERROR(IF(SMALL(T_Kan,COUNTIF(T_Kan,"&lt;"&amp;2*100000)+4)&lt;3*100000,MATCH(SMALL(T_Kan,COUNTIF(T_Kan,"&lt;"&amp;2*100000)+4),T_Kan,0),""),"")</f>
        <v/>
      </c>
      <c r="M9">
        <f>IFERROR(IF(SMALL(T_Kan,COUNTIF(T_Kan,"&lt;"&amp;3*100000)+4)&lt;4*100000,MATCH(SMALL(T_Kan,COUNTIF(T_Kan,"&lt;"&amp;3*100000)+4),T_Kan,0),""),"")</f>
        <v/>
      </c>
      <c r="N9">
        <f>IFERROR(IF(SMALL(T_Kan,COUNTIF(T_Kan,"&lt;"&amp;4*100000)+4)&lt;5*100000,MATCH(SMALL(T_Kan,COUNTIF(T_Kan,"&lt;"&amp;4*100000)+4),T_Kan,0),""),"")</f>
        <v/>
      </c>
      <c r="O9">
        <f>IFERROR(IF(SMALL(T_Kan,COUNTIF(T_Kan,"&lt;"&amp;5*100000)+4)&lt;6*100000,MATCH(SMALL(T_Kan,COUNTIF(T_Kan,"&lt;"&amp;5*100000)+4),T_Kan,0),""),"")</f>
        <v/>
      </c>
      <c r="P9">
        <f>IFERROR(IF(SMALL(T_Kan,COUNTIF(T_Kan,"&lt;"&amp;6*100000)+4)&lt;7*100000,MATCH(SMALL(T_Kan,COUNTIF(T_Kan,"&lt;"&amp;6*100000)+4),T_Kan,0),""),"")</f>
        <v/>
      </c>
    </row>
    <row r="10" ht="46" customHeight="1">
      <c r="B10" s="153">
        <f>IF($K10="","",INDEX(T_ID,$K10)&amp;"  ·  "&amp;INDEX(T_Task,$K10)&amp;CHAR(10)&amp;"👤 "&amp;INDEX(T_Owner,$K10)&amp;"   🎯 "&amp;IF(ISNUMBER(INDEX(T_Due,$K10)),TEXT(INDEX(T_Due,$K10),"dd/mm/yy"),"—")&amp;IF(INDEX(T_Prio,$K10)="גבוהה","   🔥","")&amp;IF(INDEX(T_Eff,$K10)="תקוע","   ⛔ תקוע",""))</f>
        <v/>
      </c>
      <c r="C10" s="153">
        <f>IF($L10="","",INDEX(T_ID,$L10)&amp;"  ·  "&amp;INDEX(T_Task,$L10)&amp;CHAR(10)&amp;"👤 "&amp;INDEX(T_Owner,$L10)&amp;"   🎯 "&amp;IF(ISNUMBER(INDEX(T_Due,$L10)),TEXT(INDEX(T_Due,$L10),"dd/mm/yy"),"—")&amp;IF(INDEX(T_Prio,$L10)="גבוהה","   🔥","")&amp;IF(INDEX(T_Eff,$L10)="תקוע","   ⛔ תקוע",""))</f>
        <v/>
      </c>
      <c r="D10" s="153">
        <f>IF($M10="","",INDEX(T_ID,$M10)&amp;"  ·  "&amp;INDEX(T_Task,$M10)&amp;CHAR(10)&amp;"👤 "&amp;INDEX(T_Owner,$M10)&amp;"   🎯 "&amp;IF(ISNUMBER(INDEX(T_Due,$M10)),TEXT(INDEX(T_Due,$M10),"dd/mm/yy"),"—")&amp;IF(INDEX(T_Prio,$M10)="גבוהה","   🔥","")&amp;IF(INDEX(T_Eff,$M10)="תקוע","   ⛔ תקוע",""))</f>
        <v/>
      </c>
      <c r="E10" s="153">
        <f>IF($N10="","",INDEX(T_ID,$N10)&amp;"  ·  "&amp;INDEX(T_Task,$N10)&amp;CHAR(10)&amp;"👤 "&amp;INDEX(T_Owner,$N10)&amp;"   🎯 "&amp;IF(ISNUMBER(INDEX(T_Due,$N10)),TEXT(INDEX(T_Due,$N10),"dd/mm/yy"),"—")&amp;IF(INDEX(T_Prio,$N10)="גבוהה","   🔥","")&amp;IF(INDEX(T_Eff,$N10)="תקוע","   ⛔ תקוע",""))</f>
        <v/>
      </c>
      <c r="F10" s="153">
        <f>IF($O10="","",INDEX(T_ID,$O10)&amp;"  ·  "&amp;INDEX(T_Task,$O10)&amp;CHAR(10)&amp;"👤 "&amp;INDEX(T_Owner,$O10)&amp;"   🎯 "&amp;IF(ISNUMBER(INDEX(T_Due,$O10)),TEXT(INDEX(T_Due,$O10),"dd/mm/yy"),"—")&amp;IF(INDEX(T_Prio,$O10)="גבוהה","   🔥","")&amp;IF(INDEX(T_Eff,$O10)="תקוע","   ⛔ תקוע",""))</f>
        <v/>
      </c>
      <c r="G10" s="153">
        <f>IF($P10="","",INDEX(T_ID,$P10)&amp;"  ·  "&amp;INDEX(T_Task,$P10)&amp;CHAR(10)&amp;"👤 "&amp;INDEX(T_Owner,$P10)&amp;"   🎯 "&amp;IF(ISNUMBER(INDEX(T_Due,$P10)),TEXT(INDEX(T_Due,$P10),"dd/mm/yy"),"—")&amp;IF(INDEX(T_Prio,$P10)="גבוהה","   🔥","")&amp;IF(INDEX(T_Eff,$P10)="תקוע","   ⛔ תקוע",""))</f>
        <v/>
      </c>
      <c r="K10">
        <f>IFERROR(IF(SMALL(T_Kan,COUNTIF(T_Kan,"&lt;"&amp;1*100000)+5)&lt;2*100000,MATCH(SMALL(T_Kan,COUNTIF(T_Kan,"&lt;"&amp;1*100000)+5),T_Kan,0),""),"")</f>
        <v/>
      </c>
      <c r="L10">
        <f>IFERROR(IF(SMALL(T_Kan,COUNTIF(T_Kan,"&lt;"&amp;2*100000)+5)&lt;3*100000,MATCH(SMALL(T_Kan,COUNTIF(T_Kan,"&lt;"&amp;2*100000)+5),T_Kan,0),""),"")</f>
        <v/>
      </c>
      <c r="M10">
        <f>IFERROR(IF(SMALL(T_Kan,COUNTIF(T_Kan,"&lt;"&amp;3*100000)+5)&lt;4*100000,MATCH(SMALL(T_Kan,COUNTIF(T_Kan,"&lt;"&amp;3*100000)+5),T_Kan,0),""),"")</f>
        <v/>
      </c>
      <c r="N10">
        <f>IFERROR(IF(SMALL(T_Kan,COUNTIF(T_Kan,"&lt;"&amp;4*100000)+5)&lt;5*100000,MATCH(SMALL(T_Kan,COUNTIF(T_Kan,"&lt;"&amp;4*100000)+5),T_Kan,0),""),"")</f>
        <v/>
      </c>
      <c r="O10">
        <f>IFERROR(IF(SMALL(T_Kan,COUNTIF(T_Kan,"&lt;"&amp;5*100000)+5)&lt;6*100000,MATCH(SMALL(T_Kan,COUNTIF(T_Kan,"&lt;"&amp;5*100000)+5),T_Kan,0),""),"")</f>
        <v/>
      </c>
      <c r="P10">
        <f>IFERROR(IF(SMALL(T_Kan,COUNTIF(T_Kan,"&lt;"&amp;6*100000)+5)&lt;7*100000,MATCH(SMALL(T_Kan,COUNTIF(T_Kan,"&lt;"&amp;6*100000)+5),T_Kan,0),""),"")</f>
        <v/>
      </c>
    </row>
    <row r="11" ht="46" customHeight="1">
      <c r="B11" s="153">
        <f>IF($K11="","",INDEX(T_ID,$K11)&amp;"  ·  "&amp;INDEX(T_Task,$K11)&amp;CHAR(10)&amp;"👤 "&amp;INDEX(T_Owner,$K11)&amp;"   🎯 "&amp;IF(ISNUMBER(INDEX(T_Due,$K11)),TEXT(INDEX(T_Due,$K11),"dd/mm/yy"),"—")&amp;IF(INDEX(T_Prio,$K11)="גבוהה","   🔥","")&amp;IF(INDEX(T_Eff,$K11)="תקוע","   ⛔ תקוע",""))</f>
        <v/>
      </c>
      <c r="C11" s="153">
        <f>IF($L11="","",INDEX(T_ID,$L11)&amp;"  ·  "&amp;INDEX(T_Task,$L11)&amp;CHAR(10)&amp;"👤 "&amp;INDEX(T_Owner,$L11)&amp;"   🎯 "&amp;IF(ISNUMBER(INDEX(T_Due,$L11)),TEXT(INDEX(T_Due,$L11),"dd/mm/yy"),"—")&amp;IF(INDEX(T_Prio,$L11)="גבוהה","   🔥","")&amp;IF(INDEX(T_Eff,$L11)="תקוע","   ⛔ תקוע",""))</f>
        <v/>
      </c>
      <c r="D11" s="153">
        <f>IF($M11="","",INDEX(T_ID,$M11)&amp;"  ·  "&amp;INDEX(T_Task,$M11)&amp;CHAR(10)&amp;"👤 "&amp;INDEX(T_Owner,$M11)&amp;"   🎯 "&amp;IF(ISNUMBER(INDEX(T_Due,$M11)),TEXT(INDEX(T_Due,$M11),"dd/mm/yy"),"—")&amp;IF(INDEX(T_Prio,$M11)="גבוהה","   🔥","")&amp;IF(INDEX(T_Eff,$M11)="תקוע","   ⛔ תקוע",""))</f>
        <v/>
      </c>
      <c r="E11" s="153">
        <f>IF($N11="","",INDEX(T_ID,$N11)&amp;"  ·  "&amp;INDEX(T_Task,$N11)&amp;CHAR(10)&amp;"👤 "&amp;INDEX(T_Owner,$N11)&amp;"   🎯 "&amp;IF(ISNUMBER(INDEX(T_Due,$N11)),TEXT(INDEX(T_Due,$N11),"dd/mm/yy"),"—")&amp;IF(INDEX(T_Prio,$N11)="גבוהה","   🔥","")&amp;IF(INDEX(T_Eff,$N11)="תקוע","   ⛔ תקוע",""))</f>
        <v/>
      </c>
      <c r="F11" s="153">
        <f>IF($O11="","",INDEX(T_ID,$O11)&amp;"  ·  "&amp;INDEX(T_Task,$O11)&amp;CHAR(10)&amp;"👤 "&amp;INDEX(T_Owner,$O11)&amp;"   🎯 "&amp;IF(ISNUMBER(INDEX(T_Due,$O11)),TEXT(INDEX(T_Due,$O11),"dd/mm/yy"),"—")&amp;IF(INDEX(T_Prio,$O11)="גבוהה","   🔥","")&amp;IF(INDEX(T_Eff,$O11)="תקוע","   ⛔ תקוע",""))</f>
        <v/>
      </c>
      <c r="G11" s="153">
        <f>IF($P11="","",INDEX(T_ID,$P11)&amp;"  ·  "&amp;INDEX(T_Task,$P11)&amp;CHAR(10)&amp;"👤 "&amp;INDEX(T_Owner,$P11)&amp;"   🎯 "&amp;IF(ISNUMBER(INDEX(T_Due,$P11)),TEXT(INDEX(T_Due,$P11),"dd/mm/yy"),"—")&amp;IF(INDEX(T_Prio,$P11)="גבוהה","   🔥","")&amp;IF(INDEX(T_Eff,$P11)="תקוע","   ⛔ תקוע",""))</f>
        <v/>
      </c>
      <c r="K11">
        <f>IFERROR(IF(SMALL(T_Kan,COUNTIF(T_Kan,"&lt;"&amp;1*100000)+6)&lt;2*100000,MATCH(SMALL(T_Kan,COUNTIF(T_Kan,"&lt;"&amp;1*100000)+6),T_Kan,0),""),"")</f>
        <v/>
      </c>
      <c r="L11">
        <f>IFERROR(IF(SMALL(T_Kan,COUNTIF(T_Kan,"&lt;"&amp;2*100000)+6)&lt;3*100000,MATCH(SMALL(T_Kan,COUNTIF(T_Kan,"&lt;"&amp;2*100000)+6),T_Kan,0),""),"")</f>
        <v/>
      </c>
      <c r="M11">
        <f>IFERROR(IF(SMALL(T_Kan,COUNTIF(T_Kan,"&lt;"&amp;3*100000)+6)&lt;4*100000,MATCH(SMALL(T_Kan,COUNTIF(T_Kan,"&lt;"&amp;3*100000)+6),T_Kan,0),""),"")</f>
        <v/>
      </c>
      <c r="N11">
        <f>IFERROR(IF(SMALL(T_Kan,COUNTIF(T_Kan,"&lt;"&amp;4*100000)+6)&lt;5*100000,MATCH(SMALL(T_Kan,COUNTIF(T_Kan,"&lt;"&amp;4*100000)+6),T_Kan,0),""),"")</f>
        <v/>
      </c>
      <c r="O11">
        <f>IFERROR(IF(SMALL(T_Kan,COUNTIF(T_Kan,"&lt;"&amp;5*100000)+6)&lt;6*100000,MATCH(SMALL(T_Kan,COUNTIF(T_Kan,"&lt;"&amp;5*100000)+6),T_Kan,0),""),"")</f>
        <v/>
      </c>
      <c r="P11">
        <f>IFERROR(IF(SMALL(T_Kan,COUNTIF(T_Kan,"&lt;"&amp;6*100000)+6)&lt;7*100000,MATCH(SMALL(T_Kan,COUNTIF(T_Kan,"&lt;"&amp;6*100000)+6),T_Kan,0),""),"")</f>
        <v/>
      </c>
    </row>
    <row r="12" ht="46" customHeight="1">
      <c r="B12" s="153">
        <f>IF($K12="","",INDEX(T_ID,$K12)&amp;"  ·  "&amp;INDEX(T_Task,$K12)&amp;CHAR(10)&amp;"👤 "&amp;INDEX(T_Owner,$K12)&amp;"   🎯 "&amp;IF(ISNUMBER(INDEX(T_Due,$K12)),TEXT(INDEX(T_Due,$K12),"dd/mm/yy"),"—")&amp;IF(INDEX(T_Prio,$K12)="גבוהה","   🔥","")&amp;IF(INDEX(T_Eff,$K12)="תקוע","   ⛔ תקוע",""))</f>
        <v/>
      </c>
      <c r="C12" s="153">
        <f>IF($L12="","",INDEX(T_ID,$L12)&amp;"  ·  "&amp;INDEX(T_Task,$L12)&amp;CHAR(10)&amp;"👤 "&amp;INDEX(T_Owner,$L12)&amp;"   🎯 "&amp;IF(ISNUMBER(INDEX(T_Due,$L12)),TEXT(INDEX(T_Due,$L12),"dd/mm/yy"),"—")&amp;IF(INDEX(T_Prio,$L12)="גבוהה","   🔥","")&amp;IF(INDEX(T_Eff,$L12)="תקוע","   ⛔ תקוע",""))</f>
        <v/>
      </c>
      <c r="D12" s="153">
        <f>IF($M12="","",INDEX(T_ID,$M12)&amp;"  ·  "&amp;INDEX(T_Task,$M12)&amp;CHAR(10)&amp;"👤 "&amp;INDEX(T_Owner,$M12)&amp;"   🎯 "&amp;IF(ISNUMBER(INDEX(T_Due,$M12)),TEXT(INDEX(T_Due,$M12),"dd/mm/yy"),"—")&amp;IF(INDEX(T_Prio,$M12)="גבוהה","   🔥","")&amp;IF(INDEX(T_Eff,$M12)="תקוע","   ⛔ תקוע",""))</f>
        <v/>
      </c>
      <c r="E12" s="153">
        <f>IF($N12="","",INDEX(T_ID,$N12)&amp;"  ·  "&amp;INDEX(T_Task,$N12)&amp;CHAR(10)&amp;"👤 "&amp;INDEX(T_Owner,$N12)&amp;"   🎯 "&amp;IF(ISNUMBER(INDEX(T_Due,$N12)),TEXT(INDEX(T_Due,$N12),"dd/mm/yy"),"—")&amp;IF(INDEX(T_Prio,$N12)="גבוהה","   🔥","")&amp;IF(INDEX(T_Eff,$N12)="תקוע","   ⛔ תקוע",""))</f>
        <v/>
      </c>
      <c r="F12" s="153">
        <f>IF($O12="","",INDEX(T_ID,$O12)&amp;"  ·  "&amp;INDEX(T_Task,$O12)&amp;CHAR(10)&amp;"👤 "&amp;INDEX(T_Owner,$O12)&amp;"   🎯 "&amp;IF(ISNUMBER(INDEX(T_Due,$O12)),TEXT(INDEX(T_Due,$O12),"dd/mm/yy"),"—")&amp;IF(INDEX(T_Prio,$O12)="גבוהה","   🔥","")&amp;IF(INDEX(T_Eff,$O12)="תקוע","   ⛔ תקוע",""))</f>
        <v/>
      </c>
      <c r="G12" s="153">
        <f>IF($P12="","",INDEX(T_ID,$P12)&amp;"  ·  "&amp;INDEX(T_Task,$P12)&amp;CHAR(10)&amp;"👤 "&amp;INDEX(T_Owner,$P12)&amp;"   🎯 "&amp;IF(ISNUMBER(INDEX(T_Due,$P12)),TEXT(INDEX(T_Due,$P12),"dd/mm/yy"),"—")&amp;IF(INDEX(T_Prio,$P12)="גבוהה","   🔥","")&amp;IF(INDEX(T_Eff,$P12)="תקוע","   ⛔ תקוע",""))</f>
        <v/>
      </c>
      <c r="K12">
        <f>IFERROR(IF(SMALL(T_Kan,COUNTIF(T_Kan,"&lt;"&amp;1*100000)+7)&lt;2*100000,MATCH(SMALL(T_Kan,COUNTIF(T_Kan,"&lt;"&amp;1*100000)+7),T_Kan,0),""),"")</f>
        <v/>
      </c>
      <c r="L12">
        <f>IFERROR(IF(SMALL(T_Kan,COUNTIF(T_Kan,"&lt;"&amp;2*100000)+7)&lt;3*100000,MATCH(SMALL(T_Kan,COUNTIF(T_Kan,"&lt;"&amp;2*100000)+7),T_Kan,0),""),"")</f>
        <v/>
      </c>
      <c r="M12">
        <f>IFERROR(IF(SMALL(T_Kan,COUNTIF(T_Kan,"&lt;"&amp;3*100000)+7)&lt;4*100000,MATCH(SMALL(T_Kan,COUNTIF(T_Kan,"&lt;"&amp;3*100000)+7),T_Kan,0),""),"")</f>
        <v/>
      </c>
      <c r="N12">
        <f>IFERROR(IF(SMALL(T_Kan,COUNTIF(T_Kan,"&lt;"&amp;4*100000)+7)&lt;5*100000,MATCH(SMALL(T_Kan,COUNTIF(T_Kan,"&lt;"&amp;4*100000)+7),T_Kan,0),""),"")</f>
        <v/>
      </c>
      <c r="O12">
        <f>IFERROR(IF(SMALL(T_Kan,COUNTIF(T_Kan,"&lt;"&amp;5*100000)+7)&lt;6*100000,MATCH(SMALL(T_Kan,COUNTIF(T_Kan,"&lt;"&amp;5*100000)+7),T_Kan,0),""),"")</f>
        <v/>
      </c>
      <c r="P12">
        <f>IFERROR(IF(SMALL(T_Kan,COUNTIF(T_Kan,"&lt;"&amp;6*100000)+7)&lt;7*100000,MATCH(SMALL(T_Kan,COUNTIF(T_Kan,"&lt;"&amp;6*100000)+7),T_Kan,0),""),"")</f>
        <v/>
      </c>
    </row>
    <row r="13" ht="46" customHeight="1">
      <c r="B13" s="153">
        <f>IF($K13="","",INDEX(T_ID,$K13)&amp;"  ·  "&amp;INDEX(T_Task,$K13)&amp;CHAR(10)&amp;"👤 "&amp;INDEX(T_Owner,$K13)&amp;"   🎯 "&amp;IF(ISNUMBER(INDEX(T_Due,$K13)),TEXT(INDEX(T_Due,$K13),"dd/mm/yy"),"—")&amp;IF(INDEX(T_Prio,$K13)="גבוהה","   🔥","")&amp;IF(INDEX(T_Eff,$K13)="תקוע","   ⛔ תקוע",""))</f>
        <v/>
      </c>
      <c r="C13" s="153">
        <f>IF($L13="","",INDEX(T_ID,$L13)&amp;"  ·  "&amp;INDEX(T_Task,$L13)&amp;CHAR(10)&amp;"👤 "&amp;INDEX(T_Owner,$L13)&amp;"   🎯 "&amp;IF(ISNUMBER(INDEX(T_Due,$L13)),TEXT(INDEX(T_Due,$L13),"dd/mm/yy"),"—")&amp;IF(INDEX(T_Prio,$L13)="גבוהה","   🔥","")&amp;IF(INDEX(T_Eff,$L13)="תקוע","   ⛔ תקוע",""))</f>
        <v/>
      </c>
      <c r="D13" s="153">
        <f>IF($M13="","",INDEX(T_ID,$M13)&amp;"  ·  "&amp;INDEX(T_Task,$M13)&amp;CHAR(10)&amp;"👤 "&amp;INDEX(T_Owner,$M13)&amp;"   🎯 "&amp;IF(ISNUMBER(INDEX(T_Due,$M13)),TEXT(INDEX(T_Due,$M13),"dd/mm/yy"),"—")&amp;IF(INDEX(T_Prio,$M13)="גבוהה","   🔥","")&amp;IF(INDEX(T_Eff,$M13)="תקוע","   ⛔ תקוע",""))</f>
        <v/>
      </c>
      <c r="E13" s="153">
        <f>IF($N13="","",INDEX(T_ID,$N13)&amp;"  ·  "&amp;INDEX(T_Task,$N13)&amp;CHAR(10)&amp;"👤 "&amp;INDEX(T_Owner,$N13)&amp;"   🎯 "&amp;IF(ISNUMBER(INDEX(T_Due,$N13)),TEXT(INDEX(T_Due,$N13),"dd/mm/yy"),"—")&amp;IF(INDEX(T_Prio,$N13)="גבוהה","   🔥","")&amp;IF(INDEX(T_Eff,$N13)="תקוע","   ⛔ תקוע",""))</f>
        <v/>
      </c>
      <c r="F13" s="153">
        <f>IF($O13="","",INDEX(T_ID,$O13)&amp;"  ·  "&amp;INDEX(T_Task,$O13)&amp;CHAR(10)&amp;"👤 "&amp;INDEX(T_Owner,$O13)&amp;"   🎯 "&amp;IF(ISNUMBER(INDEX(T_Due,$O13)),TEXT(INDEX(T_Due,$O13),"dd/mm/yy"),"—")&amp;IF(INDEX(T_Prio,$O13)="גבוהה","   🔥","")&amp;IF(INDEX(T_Eff,$O13)="תקוע","   ⛔ תקוע",""))</f>
        <v/>
      </c>
      <c r="G13" s="153">
        <f>IF($P13="","",INDEX(T_ID,$P13)&amp;"  ·  "&amp;INDEX(T_Task,$P13)&amp;CHAR(10)&amp;"👤 "&amp;INDEX(T_Owner,$P13)&amp;"   🎯 "&amp;IF(ISNUMBER(INDEX(T_Due,$P13)),TEXT(INDEX(T_Due,$P13),"dd/mm/yy"),"—")&amp;IF(INDEX(T_Prio,$P13)="גבוהה","   🔥","")&amp;IF(INDEX(T_Eff,$P13)="תקוע","   ⛔ תקוע",""))</f>
        <v/>
      </c>
      <c r="K13">
        <f>IFERROR(IF(SMALL(T_Kan,COUNTIF(T_Kan,"&lt;"&amp;1*100000)+8)&lt;2*100000,MATCH(SMALL(T_Kan,COUNTIF(T_Kan,"&lt;"&amp;1*100000)+8),T_Kan,0),""),"")</f>
        <v/>
      </c>
      <c r="L13">
        <f>IFERROR(IF(SMALL(T_Kan,COUNTIF(T_Kan,"&lt;"&amp;2*100000)+8)&lt;3*100000,MATCH(SMALL(T_Kan,COUNTIF(T_Kan,"&lt;"&amp;2*100000)+8),T_Kan,0),""),"")</f>
        <v/>
      </c>
      <c r="M13">
        <f>IFERROR(IF(SMALL(T_Kan,COUNTIF(T_Kan,"&lt;"&amp;3*100000)+8)&lt;4*100000,MATCH(SMALL(T_Kan,COUNTIF(T_Kan,"&lt;"&amp;3*100000)+8),T_Kan,0),""),"")</f>
        <v/>
      </c>
      <c r="N13">
        <f>IFERROR(IF(SMALL(T_Kan,COUNTIF(T_Kan,"&lt;"&amp;4*100000)+8)&lt;5*100000,MATCH(SMALL(T_Kan,COUNTIF(T_Kan,"&lt;"&amp;4*100000)+8),T_Kan,0),""),"")</f>
        <v/>
      </c>
      <c r="O13">
        <f>IFERROR(IF(SMALL(T_Kan,COUNTIF(T_Kan,"&lt;"&amp;5*100000)+8)&lt;6*100000,MATCH(SMALL(T_Kan,COUNTIF(T_Kan,"&lt;"&amp;5*100000)+8),T_Kan,0),""),"")</f>
        <v/>
      </c>
      <c r="P13">
        <f>IFERROR(IF(SMALL(T_Kan,COUNTIF(T_Kan,"&lt;"&amp;6*100000)+8)&lt;7*100000,MATCH(SMALL(T_Kan,COUNTIF(T_Kan,"&lt;"&amp;6*100000)+8),T_Kan,0),""),"")</f>
        <v/>
      </c>
    </row>
    <row r="14" ht="46" customHeight="1">
      <c r="B14" s="153">
        <f>IF($K14="","",INDEX(T_ID,$K14)&amp;"  ·  "&amp;INDEX(T_Task,$K14)&amp;CHAR(10)&amp;"👤 "&amp;INDEX(T_Owner,$K14)&amp;"   🎯 "&amp;IF(ISNUMBER(INDEX(T_Due,$K14)),TEXT(INDEX(T_Due,$K14),"dd/mm/yy"),"—")&amp;IF(INDEX(T_Prio,$K14)="גבוהה","   🔥","")&amp;IF(INDEX(T_Eff,$K14)="תקוע","   ⛔ תקוע",""))</f>
        <v/>
      </c>
      <c r="C14" s="153">
        <f>IF($L14="","",INDEX(T_ID,$L14)&amp;"  ·  "&amp;INDEX(T_Task,$L14)&amp;CHAR(10)&amp;"👤 "&amp;INDEX(T_Owner,$L14)&amp;"   🎯 "&amp;IF(ISNUMBER(INDEX(T_Due,$L14)),TEXT(INDEX(T_Due,$L14),"dd/mm/yy"),"—")&amp;IF(INDEX(T_Prio,$L14)="גבוהה","   🔥","")&amp;IF(INDEX(T_Eff,$L14)="תקוע","   ⛔ תקוע",""))</f>
        <v/>
      </c>
      <c r="D14" s="153">
        <f>IF($M14="","",INDEX(T_ID,$M14)&amp;"  ·  "&amp;INDEX(T_Task,$M14)&amp;CHAR(10)&amp;"👤 "&amp;INDEX(T_Owner,$M14)&amp;"   🎯 "&amp;IF(ISNUMBER(INDEX(T_Due,$M14)),TEXT(INDEX(T_Due,$M14),"dd/mm/yy"),"—")&amp;IF(INDEX(T_Prio,$M14)="גבוהה","   🔥","")&amp;IF(INDEX(T_Eff,$M14)="תקוע","   ⛔ תקוע",""))</f>
        <v/>
      </c>
      <c r="E14" s="153">
        <f>IF($N14="","",INDEX(T_ID,$N14)&amp;"  ·  "&amp;INDEX(T_Task,$N14)&amp;CHAR(10)&amp;"👤 "&amp;INDEX(T_Owner,$N14)&amp;"   🎯 "&amp;IF(ISNUMBER(INDEX(T_Due,$N14)),TEXT(INDEX(T_Due,$N14),"dd/mm/yy"),"—")&amp;IF(INDEX(T_Prio,$N14)="גבוהה","   🔥","")&amp;IF(INDEX(T_Eff,$N14)="תקוע","   ⛔ תקוע",""))</f>
        <v/>
      </c>
      <c r="F14" s="153">
        <f>IF($O14="","",INDEX(T_ID,$O14)&amp;"  ·  "&amp;INDEX(T_Task,$O14)&amp;CHAR(10)&amp;"👤 "&amp;INDEX(T_Owner,$O14)&amp;"   🎯 "&amp;IF(ISNUMBER(INDEX(T_Due,$O14)),TEXT(INDEX(T_Due,$O14),"dd/mm/yy"),"—")&amp;IF(INDEX(T_Prio,$O14)="גבוהה","   🔥","")&amp;IF(INDEX(T_Eff,$O14)="תקוע","   ⛔ תקוע",""))</f>
        <v/>
      </c>
      <c r="G14" s="153">
        <f>IF($P14="","",INDEX(T_ID,$P14)&amp;"  ·  "&amp;INDEX(T_Task,$P14)&amp;CHAR(10)&amp;"👤 "&amp;INDEX(T_Owner,$P14)&amp;"   🎯 "&amp;IF(ISNUMBER(INDEX(T_Due,$P14)),TEXT(INDEX(T_Due,$P14),"dd/mm/yy"),"—")&amp;IF(INDEX(T_Prio,$P14)="גבוהה","   🔥","")&amp;IF(INDEX(T_Eff,$P14)="תקוע","   ⛔ תקוע",""))</f>
        <v/>
      </c>
      <c r="K14">
        <f>IFERROR(IF(SMALL(T_Kan,COUNTIF(T_Kan,"&lt;"&amp;1*100000)+9)&lt;2*100000,MATCH(SMALL(T_Kan,COUNTIF(T_Kan,"&lt;"&amp;1*100000)+9),T_Kan,0),""),"")</f>
        <v/>
      </c>
      <c r="L14">
        <f>IFERROR(IF(SMALL(T_Kan,COUNTIF(T_Kan,"&lt;"&amp;2*100000)+9)&lt;3*100000,MATCH(SMALL(T_Kan,COUNTIF(T_Kan,"&lt;"&amp;2*100000)+9),T_Kan,0),""),"")</f>
        <v/>
      </c>
      <c r="M14">
        <f>IFERROR(IF(SMALL(T_Kan,COUNTIF(T_Kan,"&lt;"&amp;3*100000)+9)&lt;4*100000,MATCH(SMALL(T_Kan,COUNTIF(T_Kan,"&lt;"&amp;3*100000)+9),T_Kan,0),""),"")</f>
        <v/>
      </c>
      <c r="N14">
        <f>IFERROR(IF(SMALL(T_Kan,COUNTIF(T_Kan,"&lt;"&amp;4*100000)+9)&lt;5*100000,MATCH(SMALL(T_Kan,COUNTIF(T_Kan,"&lt;"&amp;4*100000)+9),T_Kan,0),""),"")</f>
        <v/>
      </c>
      <c r="O14">
        <f>IFERROR(IF(SMALL(T_Kan,COUNTIF(T_Kan,"&lt;"&amp;5*100000)+9)&lt;6*100000,MATCH(SMALL(T_Kan,COUNTIF(T_Kan,"&lt;"&amp;5*100000)+9),T_Kan,0),""),"")</f>
        <v/>
      </c>
      <c r="P14">
        <f>IFERROR(IF(SMALL(T_Kan,COUNTIF(T_Kan,"&lt;"&amp;6*100000)+9)&lt;7*100000,MATCH(SMALL(T_Kan,COUNTIF(T_Kan,"&lt;"&amp;6*100000)+9),T_Kan,0),""),"")</f>
        <v/>
      </c>
    </row>
    <row r="15" ht="46" customHeight="1">
      <c r="B15" s="153">
        <f>IF($K15="","",INDEX(T_ID,$K15)&amp;"  ·  "&amp;INDEX(T_Task,$K15)&amp;CHAR(10)&amp;"👤 "&amp;INDEX(T_Owner,$K15)&amp;"   🎯 "&amp;IF(ISNUMBER(INDEX(T_Due,$K15)),TEXT(INDEX(T_Due,$K15),"dd/mm/yy"),"—")&amp;IF(INDEX(T_Prio,$K15)="גבוהה","   🔥","")&amp;IF(INDEX(T_Eff,$K15)="תקוע","   ⛔ תקוע",""))</f>
        <v/>
      </c>
      <c r="C15" s="153">
        <f>IF($L15="","",INDEX(T_ID,$L15)&amp;"  ·  "&amp;INDEX(T_Task,$L15)&amp;CHAR(10)&amp;"👤 "&amp;INDEX(T_Owner,$L15)&amp;"   🎯 "&amp;IF(ISNUMBER(INDEX(T_Due,$L15)),TEXT(INDEX(T_Due,$L15),"dd/mm/yy"),"—")&amp;IF(INDEX(T_Prio,$L15)="גבוהה","   🔥","")&amp;IF(INDEX(T_Eff,$L15)="תקוע","   ⛔ תקוע",""))</f>
        <v/>
      </c>
      <c r="D15" s="153">
        <f>IF($M15="","",INDEX(T_ID,$M15)&amp;"  ·  "&amp;INDEX(T_Task,$M15)&amp;CHAR(10)&amp;"👤 "&amp;INDEX(T_Owner,$M15)&amp;"   🎯 "&amp;IF(ISNUMBER(INDEX(T_Due,$M15)),TEXT(INDEX(T_Due,$M15),"dd/mm/yy"),"—")&amp;IF(INDEX(T_Prio,$M15)="גבוהה","   🔥","")&amp;IF(INDEX(T_Eff,$M15)="תקוע","   ⛔ תקוע",""))</f>
        <v/>
      </c>
      <c r="E15" s="153">
        <f>IF($N15="","",INDEX(T_ID,$N15)&amp;"  ·  "&amp;INDEX(T_Task,$N15)&amp;CHAR(10)&amp;"👤 "&amp;INDEX(T_Owner,$N15)&amp;"   🎯 "&amp;IF(ISNUMBER(INDEX(T_Due,$N15)),TEXT(INDEX(T_Due,$N15),"dd/mm/yy"),"—")&amp;IF(INDEX(T_Prio,$N15)="גבוהה","   🔥","")&amp;IF(INDEX(T_Eff,$N15)="תקוע","   ⛔ תקוע",""))</f>
        <v/>
      </c>
      <c r="F15" s="153">
        <f>IF($O15="","",INDEX(T_ID,$O15)&amp;"  ·  "&amp;INDEX(T_Task,$O15)&amp;CHAR(10)&amp;"👤 "&amp;INDEX(T_Owner,$O15)&amp;"   🎯 "&amp;IF(ISNUMBER(INDEX(T_Due,$O15)),TEXT(INDEX(T_Due,$O15),"dd/mm/yy"),"—")&amp;IF(INDEX(T_Prio,$O15)="גבוהה","   🔥","")&amp;IF(INDEX(T_Eff,$O15)="תקוע","   ⛔ תקוע",""))</f>
        <v/>
      </c>
      <c r="G15" s="153">
        <f>IF($P15="","",INDEX(T_ID,$P15)&amp;"  ·  "&amp;INDEX(T_Task,$P15)&amp;CHAR(10)&amp;"👤 "&amp;INDEX(T_Owner,$P15)&amp;"   🎯 "&amp;IF(ISNUMBER(INDEX(T_Due,$P15)),TEXT(INDEX(T_Due,$P15),"dd/mm/yy"),"—")&amp;IF(INDEX(T_Prio,$P15)="גבוהה","   🔥","")&amp;IF(INDEX(T_Eff,$P15)="תקוע","   ⛔ תקוע",""))</f>
        <v/>
      </c>
      <c r="K15">
        <f>IFERROR(IF(SMALL(T_Kan,COUNTIF(T_Kan,"&lt;"&amp;1*100000)+10)&lt;2*100000,MATCH(SMALL(T_Kan,COUNTIF(T_Kan,"&lt;"&amp;1*100000)+10),T_Kan,0),""),"")</f>
        <v/>
      </c>
      <c r="L15">
        <f>IFERROR(IF(SMALL(T_Kan,COUNTIF(T_Kan,"&lt;"&amp;2*100000)+10)&lt;3*100000,MATCH(SMALL(T_Kan,COUNTIF(T_Kan,"&lt;"&amp;2*100000)+10),T_Kan,0),""),"")</f>
        <v/>
      </c>
      <c r="M15">
        <f>IFERROR(IF(SMALL(T_Kan,COUNTIF(T_Kan,"&lt;"&amp;3*100000)+10)&lt;4*100000,MATCH(SMALL(T_Kan,COUNTIF(T_Kan,"&lt;"&amp;3*100000)+10),T_Kan,0),""),"")</f>
        <v/>
      </c>
      <c r="N15">
        <f>IFERROR(IF(SMALL(T_Kan,COUNTIF(T_Kan,"&lt;"&amp;4*100000)+10)&lt;5*100000,MATCH(SMALL(T_Kan,COUNTIF(T_Kan,"&lt;"&amp;4*100000)+10),T_Kan,0),""),"")</f>
        <v/>
      </c>
      <c r="O15">
        <f>IFERROR(IF(SMALL(T_Kan,COUNTIF(T_Kan,"&lt;"&amp;5*100000)+10)&lt;6*100000,MATCH(SMALL(T_Kan,COUNTIF(T_Kan,"&lt;"&amp;5*100000)+10),T_Kan,0),""),"")</f>
        <v/>
      </c>
      <c r="P15">
        <f>IFERROR(IF(SMALL(T_Kan,COUNTIF(T_Kan,"&lt;"&amp;6*100000)+10)&lt;7*100000,MATCH(SMALL(T_Kan,COUNTIF(T_Kan,"&lt;"&amp;6*100000)+10),T_Kan,0),""),"")</f>
        <v/>
      </c>
    </row>
    <row r="16" ht="46" customHeight="1">
      <c r="B16" s="153">
        <f>IF($K16="","",INDEX(T_ID,$K16)&amp;"  ·  "&amp;INDEX(T_Task,$K16)&amp;CHAR(10)&amp;"👤 "&amp;INDEX(T_Owner,$K16)&amp;"   🎯 "&amp;IF(ISNUMBER(INDEX(T_Due,$K16)),TEXT(INDEX(T_Due,$K16),"dd/mm/yy"),"—")&amp;IF(INDEX(T_Prio,$K16)="גבוהה","   🔥","")&amp;IF(INDEX(T_Eff,$K16)="תקוע","   ⛔ תקוע",""))</f>
        <v/>
      </c>
      <c r="C16" s="153">
        <f>IF($L16="","",INDEX(T_ID,$L16)&amp;"  ·  "&amp;INDEX(T_Task,$L16)&amp;CHAR(10)&amp;"👤 "&amp;INDEX(T_Owner,$L16)&amp;"   🎯 "&amp;IF(ISNUMBER(INDEX(T_Due,$L16)),TEXT(INDEX(T_Due,$L16),"dd/mm/yy"),"—")&amp;IF(INDEX(T_Prio,$L16)="גבוהה","   🔥","")&amp;IF(INDEX(T_Eff,$L16)="תקוע","   ⛔ תקוע",""))</f>
        <v/>
      </c>
      <c r="D16" s="153">
        <f>IF($M16="","",INDEX(T_ID,$M16)&amp;"  ·  "&amp;INDEX(T_Task,$M16)&amp;CHAR(10)&amp;"👤 "&amp;INDEX(T_Owner,$M16)&amp;"   🎯 "&amp;IF(ISNUMBER(INDEX(T_Due,$M16)),TEXT(INDEX(T_Due,$M16),"dd/mm/yy"),"—")&amp;IF(INDEX(T_Prio,$M16)="גבוהה","   🔥","")&amp;IF(INDEX(T_Eff,$M16)="תקוע","   ⛔ תקוע",""))</f>
        <v/>
      </c>
      <c r="E16" s="153">
        <f>IF($N16="","",INDEX(T_ID,$N16)&amp;"  ·  "&amp;INDEX(T_Task,$N16)&amp;CHAR(10)&amp;"👤 "&amp;INDEX(T_Owner,$N16)&amp;"   🎯 "&amp;IF(ISNUMBER(INDEX(T_Due,$N16)),TEXT(INDEX(T_Due,$N16),"dd/mm/yy"),"—")&amp;IF(INDEX(T_Prio,$N16)="גבוהה","   🔥","")&amp;IF(INDEX(T_Eff,$N16)="תקוע","   ⛔ תקוע",""))</f>
        <v/>
      </c>
      <c r="F16" s="153">
        <f>IF($O16="","",INDEX(T_ID,$O16)&amp;"  ·  "&amp;INDEX(T_Task,$O16)&amp;CHAR(10)&amp;"👤 "&amp;INDEX(T_Owner,$O16)&amp;"   🎯 "&amp;IF(ISNUMBER(INDEX(T_Due,$O16)),TEXT(INDEX(T_Due,$O16),"dd/mm/yy"),"—")&amp;IF(INDEX(T_Prio,$O16)="גבוהה","   🔥","")&amp;IF(INDEX(T_Eff,$O16)="תקוע","   ⛔ תקוע",""))</f>
        <v/>
      </c>
      <c r="G16" s="153">
        <f>IF($P16="","",INDEX(T_ID,$P16)&amp;"  ·  "&amp;INDEX(T_Task,$P16)&amp;CHAR(10)&amp;"👤 "&amp;INDEX(T_Owner,$P16)&amp;"   🎯 "&amp;IF(ISNUMBER(INDEX(T_Due,$P16)),TEXT(INDEX(T_Due,$P16),"dd/mm/yy"),"—")&amp;IF(INDEX(T_Prio,$P16)="גבוהה","   🔥","")&amp;IF(INDEX(T_Eff,$P16)="תקוע","   ⛔ תקוע",""))</f>
        <v/>
      </c>
      <c r="K16">
        <f>IFERROR(IF(SMALL(T_Kan,COUNTIF(T_Kan,"&lt;"&amp;1*100000)+11)&lt;2*100000,MATCH(SMALL(T_Kan,COUNTIF(T_Kan,"&lt;"&amp;1*100000)+11),T_Kan,0),""),"")</f>
        <v/>
      </c>
      <c r="L16">
        <f>IFERROR(IF(SMALL(T_Kan,COUNTIF(T_Kan,"&lt;"&amp;2*100000)+11)&lt;3*100000,MATCH(SMALL(T_Kan,COUNTIF(T_Kan,"&lt;"&amp;2*100000)+11),T_Kan,0),""),"")</f>
        <v/>
      </c>
      <c r="M16">
        <f>IFERROR(IF(SMALL(T_Kan,COUNTIF(T_Kan,"&lt;"&amp;3*100000)+11)&lt;4*100000,MATCH(SMALL(T_Kan,COUNTIF(T_Kan,"&lt;"&amp;3*100000)+11),T_Kan,0),""),"")</f>
        <v/>
      </c>
      <c r="N16">
        <f>IFERROR(IF(SMALL(T_Kan,COUNTIF(T_Kan,"&lt;"&amp;4*100000)+11)&lt;5*100000,MATCH(SMALL(T_Kan,COUNTIF(T_Kan,"&lt;"&amp;4*100000)+11),T_Kan,0),""),"")</f>
        <v/>
      </c>
      <c r="O16">
        <f>IFERROR(IF(SMALL(T_Kan,COUNTIF(T_Kan,"&lt;"&amp;5*100000)+11)&lt;6*100000,MATCH(SMALL(T_Kan,COUNTIF(T_Kan,"&lt;"&amp;5*100000)+11),T_Kan,0),""),"")</f>
        <v/>
      </c>
      <c r="P16">
        <f>IFERROR(IF(SMALL(T_Kan,COUNTIF(T_Kan,"&lt;"&amp;6*100000)+11)&lt;7*100000,MATCH(SMALL(T_Kan,COUNTIF(T_Kan,"&lt;"&amp;6*100000)+11),T_Kan,0),""),"")</f>
        <v/>
      </c>
    </row>
    <row r="17" ht="46" customHeight="1">
      <c r="B17" s="153">
        <f>IF($K17="","",INDEX(T_ID,$K17)&amp;"  ·  "&amp;INDEX(T_Task,$K17)&amp;CHAR(10)&amp;"👤 "&amp;INDEX(T_Owner,$K17)&amp;"   🎯 "&amp;IF(ISNUMBER(INDEX(T_Due,$K17)),TEXT(INDEX(T_Due,$K17),"dd/mm/yy"),"—")&amp;IF(INDEX(T_Prio,$K17)="גבוהה","   🔥","")&amp;IF(INDEX(T_Eff,$K17)="תקוע","   ⛔ תקוע",""))</f>
        <v/>
      </c>
      <c r="C17" s="153">
        <f>IF($L17="","",INDEX(T_ID,$L17)&amp;"  ·  "&amp;INDEX(T_Task,$L17)&amp;CHAR(10)&amp;"👤 "&amp;INDEX(T_Owner,$L17)&amp;"   🎯 "&amp;IF(ISNUMBER(INDEX(T_Due,$L17)),TEXT(INDEX(T_Due,$L17),"dd/mm/yy"),"—")&amp;IF(INDEX(T_Prio,$L17)="גבוהה","   🔥","")&amp;IF(INDEX(T_Eff,$L17)="תקוע","   ⛔ תקוע",""))</f>
        <v/>
      </c>
      <c r="D17" s="153">
        <f>IF($M17="","",INDEX(T_ID,$M17)&amp;"  ·  "&amp;INDEX(T_Task,$M17)&amp;CHAR(10)&amp;"👤 "&amp;INDEX(T_Owner,$M17)&amp;"   🎯 "&amp;IF(ISNUMBER(INDEX(T_Due,$M17)),TEXT(INDEX(T_Due,$M17),"dd/mm/yy"),"—")&amp;IF(INDEX(T_Prio,$M17)="גבוהה","   🔥","")&amp;IF(INDEX(T_Eff,$M17)="תקוע","   ⛔ תקוע",""))</f>
        <v/>
      </c>
      <c r="E17" s="153">
        <f>IF($N17="","",INDEX(T_ID,$N17)&amp;"  ·  "&amp;INDEX(T_Task,$N17)&amp;CHAR(10)&amp;"👤 "&amp;INDEX(T_Owner,$N17)&amp;"   🎯 "&amp;IF(ISNUMBER(INDEX(T_Due,$N17)),TEXT(INDEX(T_Due,$N17),"dd/mm/yy"),"—")&amp;IF(INDEX(T_Prio,$N17)="גבוהה","   🔥","")&amp;IF(INDEX(T_Eff,$N17)="תקוע","   ⛔ תקוע",""))</f>
        <v/>
      </c>
      <c r="F17" s="153">
        <f>IF($O17="","",INDEX(T_ID,$O17)&amp;"  ·  "&amp;INDEX(T_Task,$O17)&amp;CHAR(10)&amp;"👤 "&amp;INDEX(T_Owner,$O17)&amp;"   🎯 "&amp;IF(ISNUMBER(INDEX(T_Due,$O17)),TEXT(INDEX(T_Due,$O17),"dd/mm/yy"),"—")&amp;IF(INDEX(T_Prio,$O17)="גבוהה","   🔥","")&amp;IF(INDEX(T_Eff,$O17)="תקוע","   ⛔ תקוע",""))</f>
        <v/>
      </c>
      <c r="G17" s="153">
        <f>IF($P17="","",INDEX(T_ID,$P17)&amp;"  ·  "&amp;INDEX(T_Task,$P17)&amp;CHAR(10)&amp;"👤 "&amp;INDEX(T_Owner,$P17)&amp;"   🎯 "&amp;IF(ISNUMBER(INDEX(T_Due,$P17)),TEXT(INDEX(T_Due,$P17),"dd/mm/yy"),"—")&amp;IF(INDEX(T_Prio,$P17)="גבוהה","   🔥","")&amp;IF(INDEX(T_Eff,$P17)="תקוע","   ⛔ תקוע",""))</f>
        <v/>
      </c>
      <c r="K17">
        <f>IFERROR(IF(SMALL(T_Kan,COUNTIF(T_Kan,"&lt;"&amp;1*100000)+12)&lt;2*100000,MATCH(SMALL(T_Kan,COUNTIF(T_Kan,"&lt;"&amp;1*100000)+12),T_Kan,0),""),"")</f>
        <v/>
      </c>
      <c r="L17">
        <f>IFERROR(IF(SMALL(T_Kan,COUNTIF(T_Kan,"&lt;"&amp;2*100000)+12)&lt;3*100000,MATCH(SMALL(T_Kan,COUNTIF(T_Kan,"&lt;"&amp;2*100000)+12),T_Kan,0),""),"")</f>
        <v/>
      </c>
      <c r="M17">
        <f>IFERROR(IF(SMALL(T_Kan,COUNTIF(T_Kan,"&lt;"&amp;3*100000)+12)&lt;4*100000,MATCH(SMALL(T_Kan,COUNTIF(T_Kan,"&lt;"&amp;3*100000)+12),T_Kan,0),""),"")</f>
        <v/>
      </c>
      <c r="N17">
        <f>IFERROR(IF(SMALL(T_Kan,COUNTIF(T_Kan,"&lt;"&amp;4*100000)+12)&lt;5*100000,MATCH(SMALL(T_Kan,COUNTIF(T_Kan,"&lt;"&amp;4*100000)+12),T_Kan,0),""),"")</f>
        <v/>
      </c>
      <c r="O17">
        <f>IFERROR(IF(SMALL(T_Kan,COUNTIF(T_Kan,"&lt;"&amp;5*100000)+12)&lt;6*100000,MATCH(SMALL(T_Kan,COUNTIF(T_Kan,"&lt;"&amp;5*100000)+12),T_Kan,0),""),"")</f>
        <v/>
      </c>
      <c r="P17">
        <f>IFERROR(IF(SMALL(T_Kan,COUNTIF(T_Kan,"&lt;"&amp;6*100000)+12)&lt;7*100000,MATCH(SMALL(T_Kan,COUNTIF(T_Kan,"&lt;"&amp;6*100000)+12),T_Kan,0),""),"")</f>
        <v/>
      </c>
    </row>
    <row r="18" ht="46" customHeight="1">
      <c r="B18" s="153">
        <f>IF($K18="","",INDEX(T_ID,$K18)&amp;"  ·  "&amp;INDEX(T_Task,$K18)&amp;CHAR(10)&amp;"👤 "&amp;INDEX(T_Owner,$K18)&amp;"   🎯 "&amp;IF(ISNUMBER(INDEX(T_Due,$K18)),TEXT(INDEX(T_Due,$K18),"dd/mm/yy"),"—")&amp;IF(INDEX(T_Prio,$K18)="גבוהה","   🔥","")&amp;IF(INDEX(T_Eff,$K18)="תקוע","   ⛔ תקוע",""))</f>
        <v/>
      </c>
      <c r="C18" s="153">
        <f>IF($L18="","",INDEX(T_ID,$L18)&amp;"  ·  "&amp;INDEX(T_Task,$L18)&amp;CHAR(10)&amp;"👤 "&amp;INDEX(T_Owner,$L18)&amp;"   🎯 "&amp;IF(ISNUMBER(INDEX(T_Due,$L18)),TEXT(INDEX(T_Due,$L18),"dd/mm/yy"),"—")&amp;IF(INDEX(T_Prio,$L18)="גבוהה","   🔥","")&amp;IF(INDEX(T_Eff,$L18)="תקוע","   ⛔ תקוע",""))</f>
        <v/>
      </c>
      <c r="D18" s="153">
        <f>IF($M18="","",INDEX(T_ID,$M18)&amp;"  ·  "&amp;INDEX(T_Task,$M18)&amp;CHAR(10)&amp;"👤 "&amp;INDEX(T_Owner,$M18)&amp;"   🎯 "&amp;IF(ISNUMBER(INDEX(T_Due,$M18)),TEXT(INDEX(T_Due,$M18),"dd/mm/yy"),"—")&amp;IF(INDEX(T_Prio,$M18)="גבוהה","   🔥","")&amp;IF(INDEX(T_Eff,$M18)="תקוע","   ⛔ תקוע",""))</f>
        <v/>
      </c>
      <c r="E18" s="153">
        <f>IF($N18="","",INDEX(T_ID,$N18)&amp;"  ·  "&amp;INDEX(T_Task,$N18)&amp;CHAR(10)&amp;"👤 "&amp;INDEX(T_Owner,$N18)&amp;"   🎯 "&amp;IF(ISNUMBER(INDEX(T_Due,$N18)),TEXT(INDEX(T_Due,$N18),"dd/mm/yy"),"—")&amp;IF(INDEX(T_Prio,$N18)="גבוהה","   🔥","")&amp;IF(INDEX(T_Eff,$N18)="תקוע","   ⛔ תקוע",""))</f>
        <v/>
      </c>
      <c r="F18" s="153">
        <f>IF($O18="","",INDEX(T_ID,$O18)&amp;"  ·  "&amp;INDEX(T_Task,$O18)&amp;CHAR(10)&amp;"👤 "&amp;INDEX(T_Owner,$O18)&amp;"   🎯 "&amp;IF(ISNUMBER(INDEX(T_Due,$O18)),TEXT(INDEX(T_Due,$O18),"dd/mm/yy"),"—")&amp;IF(INDEX(T_Prio,$O18)="גבוהה","   🔥","")&amp;IF(INDEX(T_Eff,$O18)="תקוע","   ⛔ תקוע",""))</f>
        <v/>
      </c>
      <c r="G18" s="153">
        <f>IF($P18="","",INDEX(T_ID,$P18)&amp;"  ·  "&amp;INDEX(T_Task,$P18)&amp;CHAR(10)&amp;"👤 "&amp;INDEX(T_Owner,$P18)&amp;"   🎯 "&amp;IF(ISNUMBER(INDEX(T_Due,$P18)),TEXT(INDEX(T_Due,$P18),"dd/mm/yy"),"—")&amp;IF(INDEX(T_Prio,$P18)="גבוהה","   🔥","")&amp;IF(INDEX(T_Eff,$P18)="תקוע","   ⛔ תקוע",""))</f>
        <v/>
      </c>
      <c r="K18">
        <f>IFERROR(IF(SMALL(T_Kan,COUNTIF(T_Kan,"&lt;"&amp;1*100000)+13)&lt;2*100000,MATCH(SMALL(T_Kan,COUNTIF(T_Kan,"&lt;"&amp;1*100000)+13),T_Kan,0),""),"")</f>
        <v/>
      </c>
      <c r="L18">
        <f>IFERROR(IF(SMALL(T_Kan,COUNTIF(T_Kan,"&lt;"&amp;2*100000)+13)&lt;3*100000,MATCH(SMALL(T_Kan,COUNTIF(T_Kan,"&lt;"&amp;2*100000)+13),T_Kan,0),""),"")</f>
        <v/>
      </c>
      <c r="M18">
        <f>IFERROR(IF(SMALL(T_Kan,COUNTIF(T_Kan,"&lt;"&amp;3*100000)+13)&lt;4*100000,MATCH(SMALL(T_Kan,COUNTIF(T_Kan,"&lt;"&amp;3*100000)+13),T_Kan,0),""),"")</f>
        <v/>
      </c>
      <c r="N18">
        <f>IFERROR(IF(SMALL(T_Kan,COUNTIF(T_Kan,"&lt;"&amp;4*100000)+13)&lt;5*100000,MATCH(SMALL(T_Kan,COUNTIF(T_Kan,"&lt;"&amp;4*100000)+13),T_Kan,0),""),"")</f>
        <v/>
      </c>
      <c r="O18">
        <f>IFERROR(IF(SMALL(T_Kan,COUNTIF(T_Kan,"&lt;"&amp;5*100000)+13)&lt;6*100000,MATCH(SMALL(T_Kan,COUNTIF(T_Kan,"&lt;"&amp;5*100000)+13),T_Kan,0),""),"")</f>
        <v/>
      </c>
      <c r="P18">
        <f>IFERROR(IF(SMALL(T_Kan,COUNTIF(T_Kan,"&lt;"&amp;6*100000)+13)&lt;7*100000,MATCH(SMALL(T_Kan,COUNTIF(T_Kan,"&lt;"&amp;6*100000)+13),T_Kan,0),""),"")</f>
        <v/>
      </c>
    </row>
    <row r="19" ht="46" customHeight="1">
      <c r="B19" s="153">
        <f>IF($K19="","",INDEX(T_ID,$K19)&amp;"  ·  "&amp;INDEX(T_Task,$K19)&amp;CHAR(10)&amp;"👤 "&amp;INDEX(T_Owner,$K19)&amp;"   🎯 "&amp;IF(ISNUMBER(INDEX(T_Due,$K19)),TEXT(INDEX(T_Due,$K19),"dd/mm/yy"),"—")&amp;IF(INDEX(T_Prio,$K19)="גבוהה","   🔥","")&amp;IF(INDEX(T_Eff,$K19)="תקוע","   ⛔ תקוע",""))</f>
        <v/>
      </c>
      <c r="C19" s="153">
        <f>IF($L19="","",INDEX(T_ID,$L19)&amp;"  ·  "&amp;INDEX(T_Task,$L19)&amp;CHAR(10)&amp;"👤 "&amp;INDEX(T_Owner,$L19)&amp;"   🎯 "&amp;IF(ISNUMBER(INDEX(T_Due,$L19)),TEXT(INDEX(T_Due,$L19),"dd/mm/yy"),"—")&amp;IF(INDEX(T_Prio,$L19)="גבוהה","   🔥","")&amp;IF(INDEX(T_Eff,$L19)="תקוע","   ⛔ תקוע",""))</f>
        <v/>
      </c>
      <c r="D19" s="153">
        <f>IF($M19="","",INDEX(T_ID,$M19)&amp;"  ·  "&amp;INDEX(T_Task,$M19)&amp;CHAR(10)&amp;"👤 "&amp;INDEX(T_Owner,$M19)&amp;"   🎯 "&amp;IF(ISNUMBER(INDEX(T_Due,$M19)),TEXT(INDEX(T_Due,$M19),"dd/mm/yy"),"—")&amp;IF(INDEX(T_Prio,$M19)="גבוהה","   🔥","")&amp;IF(INDEX(T_Eff,$M19)="תקוע","   ⛔ תקוע",""))</f>
        <v/>
      </c>
      <c r="E19" s="153">
        <f>IF($N19="","",INDEX(T_ID,$N19)&amp;"  ·  "&amp;INDEX(T_Task,$N19)&amp;CHAR(10)&amp;"👤 "&amp;INDEX(T_Owner,$N19)&amp;"   🎯 "&amp;IF(ISNUMBER(INDEX(T_Due,$N19)),TEXT(INDEX(T_Due,$N19),"dd/mm/yy"),"—")&amp;IF(INDEX(T_Prio,$N19)="גבוהה","   🔥","")&amp;IF(INDEX(T_Eff,$N19)="תקוע","   ⛔ תקוע",""))</f>
        <v/>
      </c>
      <c r="F19" s="153">
        <f>IF($O19="","",INDEX(T_ID,$O19)&amp;"  ·  "&amp;INDEX(T_Task,$O19)&amp;CHAR(10)&amp;"👤 "&amp;INDEX(T_Owner,$O19)&amp;"   🎯 "&amp;IF(ISNUMBER(INDEX(T_Due,$O19)),TEXT(INDEX(T_Due,$O19),"dd/mm/yy"),"—")&amp;IF(INDEX(T_Prio,$O19)="גבוהה","   🔥","")&amp;IF(INDEX(T_Eff,$O19)="תקוע","   ⛔ תקוע",""))</f>
        <v/>
      </c>
      <c r="G19" s="153">
        <f>IF($P19="","",INDEX(T_ID,$P19)&amp;"  ·  "&amp;INDEX(T_Task,$P19)&amp;CHAR(10)&amp;"👤 "&amp;INDEX(T_Owner,$P19)&amp;"   🎯 "&amp;IF(ISNUMBER(INDEX(T_Due,$P19)),TEXT(INDEX(T_Due,$P19),"dd/mm/yy"),"—")&amp;IF(INDEX(T_Prio,$P19)="גבוהה","   🔥","")&amp;IF(INDEX(T_Eff,$P19)="תקוע","   ⛔ תקוע",""))</f>
        <v/>
      </c>
      <c r="K19">
        <f>IFERROR(IF(SMALL(T_Kan,COUNTIF(T_Kan,"&lt;"&amp;1*100000)+14)&lt;2*100000,MATCH(SMALL(T_Kan,COUNTIF(T_Kan,"&lt;"&amp;1*100000)+14),T_Kan,0),""),"")</f>
        <v/>
      </c>
      <c r="L19">
        <f>IFERROR(IF(SMALL(T_Kan,COUNTIF(T_Kan,"&lt;"&amp;2*100000)+14)&lt;3*100000,MATCH(SMALL(T_Kan,COUNTIF(T_Kan,"&lt;"&amp;2*100000)+14),T_Kan,0),""),"")</f>
        <v/>
      </c>
      <c r="M19">
        <f>IFERROR(IF(SMALL(T_Kan,COUNTIF(T_Kan,"&lt;"&amp;3*100000)+14)&lt;4*100000,MATCH(SMALL(T_Kan,COUNTIF(T_Kan,"&lt;"&amp;3*100000)+14),T_Kan,0),""),"")</f>
        <v/>
      </c>
      <c r="N19">
        <f>IFERROR(IF(SMALL(T_Kan,COUNTIF(T_Kan,"&lt;"&amp;4*100000)+14)&lt;5*100000,MATCH(SMALL(T_Kan,COUNTIF(T_Kan,"&lt;"&amp;4*100000)+14),T_Kan,0),""),"")</f>
        <v/>
      </c>
      <c r="O19">
        <f>IFERROR(IF(SMALL(T_Kan,COUNTIF(T_Kan,"&lt;"&amp;5*100000)+14)&lt;6*100000,MATCH(SMALL(T_Kan,COUNTIF(T_Kan,"&lt;"&amp;5*100000)+14),T_Kan,0),""),"")</f>
        <v/>
      </c>
      <c r="P19">
        <f>IFERROR(IF(SMALL(T_Kan,COUNTIF(T_Kan,"&lt;"&amp;6*100000)+14)&lt;7*100000,MATCH(SMALL(T_Kan,COUNTIF(T_Kan,"&lt;"&amp;6*100000)+14),T_Kan,0),""),"")</f>
        <v/>
      </c>
    </row>
    <row r="20" ht="46" customHeight="1">
      <c r="B20" s="153">
        <f>IF($K20="","",INDEX(T_ID,$K20)&amp;"  ·  "&amp;INDEX(T_Task,$K20)&amp;CHAR(10)&amp;"👤 "&amp;INDEX(T_Owner,$K20)&amp;"   🎯 "&amp;IF(ISNUMBER(INDEX(T_Due,$K20)),TEXT(INDEX(T_Due,$K20),"dd/mm/yy"),"—")&amp;IF(INDEX(T_Prio,$K20)="גבוהה","   🔥","")&amp;IF(INDEX(T_Eff,$K20)="תקוע","   ⛔ תקוע",""))</f>
        <v/>
      </c>
      <c r="C20" s="153">
        <f>IF($L20="","",INDEX(T_ID,$L20)&amp;"  ·  "&amp;INDEX(T_Task,$L20)&amp;CHAR(10)&amp;"👤 "&amp;INDEX(T_Owner,$L20)&amp;"   🎯 "&amp;IF(ISNUMBER(INDEX(T_Due,$L20)),TEXT(INDEX(T_Due,$L20),"dd/mm/yy"),"—")&amp;IF(INDEX(T_Prio,$L20)="גבוהה","   🔥","")&amp;IF(INDEX(T_Eff,$L20)="תקוע","   ⛔ תקוע",""))</f>
        <v/>
      </c>
      <c r="D20" s="153">
        <f>IF($M20="","",INDEX(T_ID,$M20)&amp;"  ·  "&amp;INDEX(T_Task,$M20)&amp;CHAR(10)&amp;"👤 "&amp;INDEX(T_Owner,$M20)&amp;"   🎯 "&amp;IF(ISNUMBER(INDEX(T_Due,$M20)),TEXT(INDEX(T_Due,$M20),"dd/mm/yy"),"—")&amp;IF(INDEX(T_Prio,$M20)="גבוהה","   🔥","")&amp;IF(INDEX(T_Eff,$M20)="תקוע","   ⛔ תקוע",""))</f>
        <v/>
      </c>
      <c r="E20" s="153">
        <f>IF($N20="","",INDEX(T_ID,$N20)&amp;"  ·  "&amp;INDEX(T_Task,$N20)&amp;CHAR(10)&amp;"👤 "&amp;INDEX(T_Owner,$N20)&amp;"   🎯 "&amp;IF(ISNUMBER(INDEX(T_Due,$N20)),TEXT(INDEX(T_Due,$N20),"dd/mm/yy"),"—")&amp;IF(INDEX(T_Prio,$N20)="גבוהה","   🔥","")&amp;IF(INDEX(T_Eff,$N20)="תקוע","   ⛔ תקוע",""))</f>
        <v/>
      </c>
      <c r="F20" s="153">
        <f>IF($O20="","",INDEX(T_ID,$O20)&amp;"  ·  "&amp;INDEX(T_Task,$O20)&amp;CHAR(10)&amp;"👤 "&amp;INDEX(T_Owner,$O20)&amp;"   🎯 "&amp;IF(ISNUMBER(INDEX(T_Due,$O20)),TEXT(INDEX(T_Due,$O20),"dd/mm/yy"),"—")&amp;IF(INDEX(T_Prio,$O20)="גבוהה","   🔥","")&amp;IF(INDEX(T_Eff,$O20)="תקוע","   ⛔ תקוע",""))</f>
        <v/>
      </c>
      <c r="G20" s="153">
        <f>IF($P20="","",INDEX(T_ID,$P20)&amp;"  ·  "&amp;INDEX(T_Task,$P20)&amp;CHAR(10)&amp;"👤 "&amp;INDEX(T_Owner,$P20)&amp;"   🎯 "&amp;IF(ISNUMBER(INDEX(T_Due,$P20)),TEXT(INDEX(T_Due,$P20),"dd/mm/yy"),"—")&amp;IF(INDEX(T_Prio,$P20)="גבוהה","   🔥","")&amp;IF(INDEX(T_Eff,$P20)="תקוע","   ⛔ תקוע",""))</f>
        <v/>
      </c>
      <c r="K20">
        <f>IFERROR(IF(SMALL(T_Kan,COUNTIF(T_Kan,"&lt;"&amp;1*100000)+15)&lt;2*100000,MATCH(SMALL(T_Kan,COUNTIF(T_Kan,"&lt;"&amp;1*100000)+15),T_Kan,0),""),"")</f>
        <v/>
      </c>
      <c r="L20">
        <f>IFERROR(IF(SMALL(T_Kan,COUNTIF(T_Kan,"&lt;"&amp;2*100000)+15)&lt;3*100000,MATCH(SMALL(T_Kan,COUNTIF(T_Kan,"&lt;"&amp;2*100000)+15),T_Kan,0),""),"")</f>
        <v/>
      </c>
      <c r="M20">
        <f>IFERROR(IF(SMALL(T_Kan,COUNTIF(T_Kan,"&lt;"&amp;3*100000)+15)&lt;4*100000,MATCH(SMALL(T_Kan,COUNTIF(T_Kan,"&lt;"&amp;3*100000)+15),T_Kan,0),""),"")</f>
        <v/>
      </c>
      <c r="N20">
        <f>IFERROR(IF(SMALL(T_Kan,COUNTIF(T_Kan,"&lt;"&amp;4*100000)+15)&lt;5*100000,MATCH(SMALL(T_Kan,COUNTIF(T_Kan,"&lt;"&amp;4*100000)+15),T_Kan,0),""),"")</f>
        <v/>
      </c>
      <c r="O20">
        <f>IFERROR(IF(SMALL(T_Kan,COUNTIF(T_Kan,"&lt;"&amp;5*100000)+15)&lt;6*100000,MATCH(SMALL(T_Kan,COUNTIF(T_Kan,"&lt;"&amp;5*100000)+15),T_Kan,0),""),"")</f>
        <v/>
      </c>
      <c r="P20">
        <f>IFERROR(IF(SMALL(T_Kan,COUNTIF(T_Kan,"&lt;"&amp;6*100000)+15)&lt;7*100000,MATCH(SMALL(T_Kan,COUNTIF(T_Kan,"&lt;"&amp;6*100000)+15),T_Kan,0),""),"")</f>
        <v/>
      </c>
    </row>
    <row r="21" ht="46" customHeight="1">
      <c r="B21" s="153">
        <f>IF($K21="","",INDEX(T_ID,$K21)&amp;"  ·  "&amp;INDEX(T_Task,$K21)&amp;CHAR(10)&amp;"👤 "&amp;INDEX(T_Owner,$K21)&amp;"   🎯 "&amp;IF(ISNUMBER(INDEX(T_Due,$K21)),TEXT(INDEX(T_Due,$K21),"dd/mm/yy"),"—")&amp;IF(INDEX(T_Prio,$K21)="גבוהה","   🔥","")&amp;IF(INDEX(T_Eff,$K21)="תקוע","   ⛔ תקוע",""))</f>
        <v/>
      </c>
      <c r="C21" s="153">
        <f>IF($L21="","",INDEX(T_ID,$L21)&amp;"  ·  "&amp;INDEX(T_Task,$L21)&amp;CHAR(10)&amp;"👤 "&amp;INDEX(T_Owner,$L21)&amp;"   🎯 "&amp;IF(ISNUMBER(INDEX(T_Due,$L21)),TEXT(INDEX(T_Due,$L21),"dd/mm/yy"),"—")&amp;IF(INDEX(T_Prio,$L21)="גבוהה","   🔥","")&amp;IF(INDEX(T_Eff,$L21)="תקוע","   ⛔ תקוע",""))</f>
        <v/>
      </c>
      <c r="D21" s="153">
        <f>IF($M21="","",INDEX(T_ID,$M21)&amp;"  ·  "&amp;INDEX(T_Task,$M21)&amp;CHAR(10)&amp;"👤 "&amp;INDEX(T_Owner,$M21)&amp;"   🎯 "&amp;IF(ISNUMBER(INDEX(T_Due,$M21)),TEXT(INDEX(T_Due,$M21),"dd/mm/yy"),"—")&amp;IF(INDEX(T_Prio,$M21)="גבוהה","   🔥","")&amp;IF(INDEX(T_Eff,$M21)="תקוע","   ⛔ תקוע",""))</f>
        <v/>
      </c>
      <c r="E21" s="153">
        <f>IF($N21="","",INDEX(T_ID,$N21)&amp;"  ·  "&amp;INDEX(T_Task,$N21)&amp;CHAR(10)&amp;"👤 "&amp;INDEX(T_Owner,$N21)&amp;"   🎯 "&amp;IF(ISNUMBER(INDEX(T_Due,$N21)),TEXT(INDEX(T_Due,$N21),"dd/mm/yy"),"—")&amp;IF(INDEX(T_Prio,$N21)="גבוהה","   🔥","")&amp;IF(INDEX(T_Eff,$N21)="תקוע","   ⛔ תקוע",""))</f>
        <v/>
      </c>
      <c r="F21" s="153">
        <f>IF($O21="","",INDEX(T_ID,$O21)&amp;"  ·  "&amp;INDEX(T_Task,$O21)&amp;CHAR(10)&amp;"👤 "&amp;INDEX(T_Owner,$O21)&amp;"   🎯 "&amp;IF(ISNUMBER(INDEX(T_Due,$O21)),TEXT(INDEX(T_Due,$O21),"dd/mm/yy"),"—")&amp;IF(INDEX(T_Prio,$O21)="גבוהה","   🔥","")&amp;IF(INDEX(T_Eff,$O21)="תקוע","   ⛔ תקוע",""))</f>
        <v/>
      </c>
      <c r="G21" s="153">
        <f>IF($P21="","",INDEX(T_ID,$P21)&amp;"  ·  "&amp;INDEX(T_Task,$P21)&amp;CHAR(10)&amp;"👤 "&amp;INDEX(T_Owner,$P21)&amp;"   🎯 "&amp;IF(ISNUMBER(INDEX(T_Due,$P21)),TEXT(INDEX(T_Due,$P21),"dd/mm/yy"),"—")&amp;IF(INDEX(T_Prio,$P21)="גבוהה","   🔥","")&amp;IF(INDEX(T_Eff,$P21)="תקוע","   ⛔ תקוע",""))</f>
        <v/>
      </c>
      <c r="K21">
        <f>IFERROR(IF(SMALL(T_Kan,COUNTIF(T_Kan,"&lt;"&amp;1*100000)+16)&lt;2*100000,MATCH(SMALL(T_Kan,COUNTIF(T_Kan,"&lt;"&amp;1*100000)+16),T_Kan,0),""),"")</f>
        <v/>
      </c>
      <c r="L21">
        <f>IFERROR(IF(SMALL(T_Kan,COUNTIF(T_Kan,"&lt;"&amp;2*100000)+16)&lt;3*100000,MATCH(SMALL(T_Kan,COUNTIF(T_Kan,"&lt;"&amp;2*100000)+16),T_Kan,0),""),"")</f>
        <v/>
      </c>
      <c r="M21">
        <f>IFERROR(IF(SMALL(T_Kan,COUNTIF(T_Kan,"&lt;"&amp;3*100000)+16)&lt;4*100000,MATCH(SMALL(T_Kan,COUNTIF(T_Kan,"&lt;"&amp;3*100000)+16),T_Kan,0),""),"")</f>
        <v/>
      </c>
      <c r="N21">
        <f>IFERROR(IF(SMALL(T_Kan,COUNTIF(T_Kan,"&lt;"&amp;4*100000)+16)&lt;5*100000,MATCH(SMALL(T_Kan,COUNTIF(T_Kan,"&lt;"&amp;4*100000)+16),T_Kan,0),""),"")</f>
        <v/>
      </c>
      <c r="O21">
        <f>IFERROR(IF(SMALL(T_Kan,COUNTIF(T_Kan,"&lt;"&amp;5*100000)+16)&lt;6*100000,MATCH(SMALL(T_Kan,COUNTIF(T_Kan,"&lt;"&amp;5*100000)+16),T_Kan,0),""),"")</f>
        <v/>
      </c>
      <c r="P21">
        <f>IFERROR(IF(SMALL(T_Kan,COUNTIF(T_Kan,"&lt;"&amp;6*100000)+16)&lt;7*100000,MATCH(SMALL(T_Kan,COUNTIF(T_Kan,"&lt;"&amp;6*100000)+16),T_Kan,0),""),"")</f>
        <v/>
      </c>
    </row>
    <row r="22" ht="46" customHeight="1">
      <c r="B22" s="153">
        <f>IF($K22="","",INDEX(T_ID,$K22)&amp;"  ·  "&amp;INDEX(T_Task,$K22)&amp;CHAR(10)&amp;"👤 "&amp;INDEX(T_Owner,$K22)&amp;"   🎯 "&amp;IF(ISNUMBER(INDEX(T_Due,$K22)),TEXT(INDEX(T_Due,$K22),"dd/mm/yy"),"—")&amp;IF(INDEX(T_Prio,$K22)="גבוהה","   🔥","")&amp;IF(INDEX(T_Eff,$K22)="תקוע","   ⛔ תקוע",""))</f>
        <v/>
      </c>
      <c r="C22" s="153">
        <f>IF($L22="","",INDEX(T_ID,$L22)&amp;"  ·  "&amp;INDEX(T_Task,$L22)&amp;CHAR(10)&amp;"👤 "&amp;INDEX(T_Owner,$L22)&amp;"   🎯 "&amp;IF(ISNUMBER(INDEX(T_Due,$L22)),TEXT(INDEX(T_Due,$L22),"dd/mm/yy"),"—")&amp;IF(INDEX(T_Prio,$L22)="גבוהה","   🔥","")&amp;IF(INDEX(T_Eff,$L22)="תקוע","   ⛔ תקוע",""))</f>
        <v/>
      </c>
      <c r="D22" s="153">
        <f>IF($M22="","",INDEX(T_ID,$M22)&amp;"  ·  "&amp;INDEX(T_Task,$M22)&amp;CHAR(10)&amp;"👤 "&amp;INDEX(T_Owner,$M22)&amp;"   🎯 "&amp;IF(ISNUMBER(INDEX(T_Due,$M22)),TEXT(INDEX(T_Due,$M22),"dd/mm/yy"),"—")&amp;IF(INDEX(T_Prio,$M22)="גבוהה","   🔥","")&amp;IF(INDEX(T_Eff,$M22)="תקוע","   ⛔ תקוע",""))</f>
        <v/>
      </c>
      <c r="E22" s="153">
        <f>IF($N22="","",INDEX(T_ID,$N22)&amp;"  ·  "&amp;INDEX(T_Task,$N22)&amp;CHAR(10)&amp;"👤 "&amp;INDEX(T_Owner,$N22)&amp;"   🎯 "&amp;IF(ISNUMBER(INDEX(T_Due,$N22)),TEXT(INDEX(T_Due,$N22),"dd/mm/yy"),"—")&amp;IF(INDEX(T_Prio,$N22)="גבוהה","   🔥","")&amp;IF(INDEX(T_Eff,$N22)="תקוע","   ⛔ תקוע",""))</f>
        <v/>
      </c>
      <c r="F22" s="153">
        <f>IF($O22="","",INDEX(T_ID,$O22)&amp;"  ·  "&amp;INDEX(T_Task,$O22)&amp;CHAR(10)&amp;"👤 "&amp;INDEX(T_Owner,$O22)&amp;"   🎯 "&amp;IF(ISNUMBER(INDEX(T_Due,$O22)),TEXT(INDEX(T_Due,$O22),"dd/mm/yy"),"—")&amp;IF(INDEX(T_Prio,$O22)="גבוהה","   🔥","")&amp;IF(INDEX(T_Eff,$O22)="תקוע","   ⛔ תקוע",""))</f>
        <v/>
      </c>
      <c r="G22" s="153">
        <f>IF($P22="","",INDEX(T_ID,$P22)&amp;"  ·  "&amp;INDEX(T_Task,$P22)&amp;CHAR(10)&amp;"👤 "&amp;INDEX(T_Owner,$P22)&amp;"   🎯 "&amp;IF(ISNUMBER(INDEX(T_Due,$P22)),TEXT(INDEX(T_Due,$P22),"dd/mm/yy"),"—")&amp;IF(INDEX(T_Prio,$P22)="גבוהה","   🔥","")&amp;IF(INDEX(T_Eff,$P22)="תקוע","   ⛔ תקוע",""))</f>
        <v/>
      </c>
      <c r="K22">
        <f>IFERROR(IF(SMALL(T_Kan,COUNTIF(T_Kan,"&lt;"&amp;1*100000)+17)&lt;2*100000,MATCH(SMALL(T_Kan,COUNTIF(T_Kan,"&lt;"&amp;1*100000)+17),T_Kan,0),""),"")</f>
        <v/>
      </c>
      <c r="L22">
        <f>IFERROR(IF(SMALL(T_Kan,COUNTIF(T_Kan,"&lt;"&amp;2*100000)+17)&lt;3*100000,MATCH(SMALL(T_Kan,COUNTIF(T_Kan,"&lt;"&amp;2*100000)+17),T_Kan,0),""),"")</f>
        <v/>
      </c>
      <c r="M22">
        <f>IFERROR(IF(SMALL(T_Kan,COUNTIF(T_Kan,"&lt;"&amp;3*100000)+17)&lt;4*100000,MATCH(SMALL(T_Kan,COUNTIF(T_Kan,"&lt;"&amp;3*100000)+17),T_Kan,0),""),"")</f>
        <v/>
      </c>
      <c r="N22">
        <f>IFERROR(IF(SMALL(T_Kan,COUNTIF(T_Kan,"&lt;"&amp;4*100000)+17)&lt;5*100000,MATCH(SMALL(T_Kan,COUNTIF(T_Kan,"&lt;"&amp;4*100000)+17),T_Kan,0),""),"")</f>
        <v/>
      </c>
      <c r="O22">
        <f>IFERROR(IF(SMALL(T_Kan,COUNTIF(T_Kan,"&lt;"&amp;5*100000)+17)&lt;6*100000,MATCH(SMALL(T_Kan,COUNTIF(T_Kan,"&lt;"&amp;5*100000)+17),T_Kan,0),""),"")</f>
        <v/>
      </c>
      <c r="P22">
        <f>IFERROR(IF(SMALL(T_Kan,COUNTIF(T_Kan,"&lt;"&amp;6*100000)+17)&lt;7*100000,MATCH(SMALL(T_Kan,COUNTIF(T_Kan,"&lt;"&amp;6*100000)+17),T_Kan,0),""),"")</f>
        <v/>
      </c>
    </row>
    <row r="23" ht="46" customHeight="1">
      <c r="B23" s="153">
        <f>IF($K23="","",INDEX(T_ID,$K23)&amp;"  ·  "&amp;INDEX(T_Task,$K23)&amp;CHAR(10)&amp;"👤 "&amp;INDEX(T_Owner,$K23)&amp;"   🎯 "&amp;IF(ISNUMBER(INDEX(T_Due,$K23)),TEXT(INDEX(T_Due,$K23),"dd/mm/yy"),"—")&amp;IF(INDEX(T_Prio,$K23)="גבוהה","   🔥","")&amp;IF(INDEX(T_Eff,$K23)="תקוע","   ⛔ תקוע",""))</f>
        <v/>
      </c>
      <c r="C23" s="153">
        <f>IF($L23="","",INDEX(T_ID,$L23)&amp;"  ·  "&amp;INDEX(T_Task,$L23)&amp;CHAR(10)&amp;"👤 "&amp;INDEX(T_Owner,$L23)&amp;"   🎯 "&amp;IF(ISNUMBER(INDEX(T_Due,$L23)),TEXT(INDEX(T_Due,$L23),"dd/mm/yy"),"—")&amp;IF(INDEX(T_Prio,$L23)="גבוהה","   🔥","")&amp;IF(INDEX(T_Eff,$L23)="תקוע","   ⛔ תקוע",""))</f>
        <v/>
      </c>
      <c r="D23" s="153">
        <f>IF($M23="","",INDEX(T_ID,$M23)&amp;"  ·  "&amp;INDEX(T_Task,$M23)&amp;CHAR(10)&amp;"👤 "&amp;INDEX(T_Owner,$M23)&amp;"   🎯 "&amp;IF(ISNUMBER(INDEX(T_Due,$M23)),TEXT(INDEX(T_Due,$M23),"dd/mm/yy"),"—")&amp;IF(INDEX(T_Prio,$M23)="גבוהה","   🔥","")&amp;IF(INDEX(T_Eff,$M23)="תקוע","   ⛔ תקוע",""))</f>
        <v/>
      </c>
      <c r="E23" s="153">
        <f>IF($N23="","",INDEX(T_ID,$N23)&amp;"  ·  "&amp;INDEX(T_Task,$N23)&amp;CHAR(10)&amp;"👤 "&amp;INDEX(T_Owner,$N23)&amp;"   🎯 "&amp;IF(ISNUMBER(INDEX(T_Due,$N23)),TEXT(INDEX(T_Due,$N23),"dd/mm/yy"),"—")&amp;IF(INDEX(T_Prio,$N23)="גבוהה","   🔥","")&amp;IF(INDEX(T_Eff,$N23)="תקוע","   ⛔ תקוע",""))</f>
        <v/>
      </c>
      <c r="F23" s="153">
        <f>IF($O23="","",INDEX(T_ID,$O23)&amp;"  ·  "&amp;INDEX(T_Task,$O23)&amp;CHAR(10)&amp;"👤 "&amp;INDEX(T_Owner,$O23)&amp;"   🎯 "&amp;IF(ISNUMBER(INDEX(T_Due,$O23)),TEXT(INDEX(T_Due,$O23),"dd/mm/yy"),"—")&amp;IF(INDEX(T_Prio,$O23)="גבוהה","   🔥","")&amp;IF(INDEX(T_Eff,$O23)="תקוע","   ⛔ תקוע",""))</f>
        <v/>
      </c>
      <c r="G23" s="153">
        <f>IF($P23="","",INDEX(T_ID,$P23)&amp;"  ·  "&amp;INDEX(T_Task,$P23)&amp;CHAR(10)&amp;"👤 "&amp;INDEX(T_Owner,$P23)&amp;"   🎯 "&amp;IF(ISNUMBER(INDEX(T_Due,$P23)),TEXT(INDEX(T_Due,$P23),"dd/mm/yy"),"—")&amp;IF(INDEX(T_Prio,$P23)="גבוהה","   🔥","")&amp;IF(INDEX(T_Eff,$P23)="תקוע","   ⛔ תקוע",""))</f>
        <v/>
      </c>
      <c r="K23">
        <f>IFERROR(IF(SMALL(T_Kan,COUNTIF(T_Kan,"&lt;"&amp;1*100000)+18)&lt;2*100000,MATCH(SMALL(T_Kan,COUNTIF(T_Kan,"&lt;"&amp;1*100000)+18),T_Kan,0),""),"")</f>
        <v/>
      </c>
      <c r="L23">
        <f>IFERROR(IF(SMALL(T_Kan,COUNTIF(T_Kan,"&lt;"&amp;2*100000)+18)&lt;3*100000,MATCH(SMALL(T_Kan,COUNTIF(T_Kan,"&lt;"&amp;2*100000)+18),T_Kan,0),""),"")</f>
        <v/>
      </c>
      <c r="M23">
        <f>IFERROR(IF(SMALL(T_Kan,COUNTIF(T_Kan,"&lt;"&amp;3*100000)+18)&lt;4*100000,MATCH(SMALL(T_Kan,COUNTIF(T_Kan,"&lt;"&amp;3*100000)+18),T_Kan,0),""),"")</f>
        <v/>
      </c>
      <c r="N23">
        <f>IFERROR(IF(SMALL(T_Kan,COUNTIF(T_Kan,"&lt;"&amp;4*100000)+18)&lt;5*100000,MATCH(SMALL(T_Kan,COUNTIF(T_Kan,"&lt;"&amp;4*100000)+18),T_Kan,0),""),"")</f>
        <v/>
      </c>
      <c r="O23">
        <f>IFERROR(IF(SMALL(T_Kan,COUNTIF(T_Kan,"&lt;"&amp;5*100000)+18)&lt;6*100000,MATCH(SMALL(T_Kan,COUNTIF(T_Kan,"&lt;"&amp;5*100000)+18),T_Kan,0),""),"")</f>
        <v/>
      </c>
      <c r="P23">
        <f>IFERROR(IF(SMALL(T_Kan,COUNTIF(T_Kan,"&lt;"&amp;6*100000)+18)&lt;7*100000,MATCH(SMALL(T_Kan,COUNTIF(T_Kan,"&lt;"&amp;6*100000)+18),T_Kan,0),""),"")</f>
        <v/>
      </c>
    </row>
    <row r="24" ht="46" customHeight="1">
      <c r="B24" s="153">
        <f>IF($K24="","",INDEX(T_ID,$K24)&amp;"  ·  "&amp;INDEX(T_Task,$K24)&amp;CHAR(10)&amp;"👤 "&amp;INDEX(T_Owner,$K24)&amp;"   🎯 "&amp;IF(ISNUMBER(INDEX(T_Due,$K24)),TEXT(INDEX(T_Due,$K24),"dd/mm/yy"),"—")&amp;IF(INDEX(T_Prio,$K24)="גבוהה","   🔥","")&amp;IF(INDEX(T_Eff,$K24)="תקוע","   ⛔ תקוע",""))</f>
        <v/>
      </c>
      <c r="C24" s="153">
        <f>IF($L24="","",INDEX(T_ID,$L24)&amp;"  ·  "&amp;INDEX(T_Task,$L24)&amp;CHAR(10)&amp;"👤 "&amp;INDEX(T_Owner,$L24)&amp;"   🎯 "&amp;IF(ISNUMBER(INDEX(T_Due,$L24)),TEXT(INDEX(T_Due,$L24),"dd/mm/yy"),"—")&amp;IF(INDEX(T_Prio,$L24)="גבוהה","   🔥","")&amp;IF(INDEX(T_Eff,$L24)="תקוע","   ⛔ תקוע",""))</f>
        <v/>
      </c>
      <c r="D24" s="153">
        <f>IF($M24="","",INDEX(T_ID,$M24)&amp;"  ·  "&amp;INDEX(T_Task,$M24)&amp;CHAR(10)&amp;"👤 "&amp;INDEX(T_Owner,$M24)&amp;"   🎯 "&amp;IF(ISNUMBER(INDEX(T_Due,$M24)),TEXT(INDEX(T_Due,$M24),"dd/mm/yy"),"—")&amp;IF(INDEX(T_Prio,$M24)="גבוהה","   🔥","")&amp;IF(INDEX(T_Eff,$M24)="תקוע","   ⛔ תקוע",""))</f>
        <v/>
      </c>
      <c r="E24" s="153">
        <f>IF($N24="","",INDEX(T_ID,$N24)&amp;"  ·  "&amp;INDEX(T_Task,$N24)&amp;CHAR(10)&amp;"👤 "&amp;INDEX(T_Owner,$N24)&amp;"   🎯 "&amp;IF(ISNUMBER(INDEX(T_Due,$N24)),TEXT(INDEX(T_Due,$N24),"dd/mm/yy"),"—")&amp;IF(INDEX(T_Prio,$N24)="גבוהה","   🔥","")&amp;IF(INDEX(T_Eff,$N24)="תקוע","   ⛔ תקוע",""))</f>
        <v/>
      </c>
      <c r="F24" s="153">
        <f>IF($O24="","",INDEX(T_ID,$O24)&amp;"  ·  "&amp;INDEX(T_Task,$O24)&amp;CHAR(10)&amp;"👤 "&amp;INDEX(T_Owner,$O24)&amp;"   🎯 "&amp;IF(ISNUMBER(INDEX(T_Due,$O24)),TEXT(INDEX(T_Due,$O24),"dd/mm/yy"),"—")&amp;IF(INDEX(T_Prio,$O24)="גבוהה","   🔥","")&amp;IF(INDEX(T_Eff,$O24)="תקוע","   ⛔ תקוע",""))</f>
        <v/>
      </c>
      <c r="G24" s="153">
        <f>IF($P24="","",INDEX(T_ID,$P24)&amp;"  ·  "&amp;INDEX(T_Task,$P24)&amp;CHAR(10)&amp;"👤 "&amp;INDEX(T_Owner,$P24)&amp;"   🎯 "&amp;IF(ISNUMBER(INDEX(T_Due,$P24)),TEXT(INDEX(T_Due,$P24),"dd/mm/yy"),"—")&amp;IF(INDEX(T_Prio,$P24)="גבוהה","   🔥","")&amp;IF(INDEX(T_Eff,$P24)="תקוע","   ⛔ תקוע",""))</f>
        <v/>
      </c>
      <c r="K24">
        <f>IFERROR(IF(SMALL(T_Kan,COUNTIF(T_Kan,"&lt;"&amp;1*100000)+19)&lt;2*100000,MATCH(SMALL(T_Kan,COUNTIF(T_Kan,"&lt;"&amp;1*100000)+19),T_Kan,0),""),"")</f>
        <v/>
      </c>
      <c r="L24">
        <f>IFERROR(IF(SMALL(T_Kan,COUNTIF(T_Kan,"&lt;"&amp;2*100000)+19)&lt;3*100000,MATCH(SMALL(T_Kan,COUNTIF(T_Kan,"&lt;"&amp;2*100000)+19),T_Kan,0),""),"")</f>
        <v/>
      </c>
      <c r="M24">
        <f>IFERROR(IF(SMALL(T_Kan,COUNTIF(T_Kan,"&lt;"&amp;3*100000)+19)&lt;4*100000,MATCH(SMALL(T_Kan,COUNTIF(T_Kan,"&lt;"&amp;3*100000)+19),T_Kan,0),""),"")</f>
        <v/>
      </c>
      <c r="N24">
        <f>IFERROR(IF(SMALL(T_Kan,COUNTIF(T_Kan,"&lt;"&amp;4*100000)+19)&lt;5*100000,MATCH(SMALL(T_Kan,COUNTIF(T_Kan,"&lt;"&amp;4*100000)+19),T_Kan,0),""),"")</f>
        <v/>
      </c>
      <c r="O24">
        <f>IFERROR(IF(SMALL(T_Kan,COUNTIF(T_Kan,"&lt;"&amp;5*100000)+19)&lt;6*100000,MATCH(SMALL(T_Kan,COUNTIF(T_Kan,"&lt;"&amp;5*100000)+19),T_Kan,0),""),"")</f>
        <v/>
      </c>
      <c r="P24">
        <f>IFERROR(IF(SMALL(T_Kan,COUNTIF(T_Kan,"&lt;"&amp;6*100000)+19)&lt;7*100000,MATCH(SMALL(T_Kan,COUNTIF(T_Kan,"&lt;"&amp;6*100000)+19),T_Kan,0),""),"")</f>
        <v/>
      </c>
    </row>
    <row r="25" ht="46" customHeight="1">
      <c r="B25" s="153">
        <f>IF($K25="","",INDEX(T_ID,$K25)&amp;"  ·  "&amp;INDEX(T_Task,$K25)&amp;CHAR(10)&amp;"👤 "&amp;INDEX(T_Owner,$K25)&amp;"   🎯 "&amp;IF(ISNUMBER(INDEX(T_Due,$K25)),TEXT(INDEX(T_Due,$K25),"dd/mm/yy"),"—")&amp;IF(INDEX(T_Prio,$K25)="גבוהה","   🔥","")&amp;IF(INDEX(T_Eff,$K25)="תקוע","   ⛔ תקוע",""))</f>
        <v/>
      </c>
      <c r="C25" s="153">
        <f>IF($L25="","",INDEX(T_ID,$L25)&amp;"  ·  "&amp;INDEX(T_Task,$L25)&amp;CHAR(10)&amp;"👤 "&amp;INDEX(T_Owner,$L25)&amp;"   🎯 "&amp;IF(ISNUMBER(INDEX(T_Due,$L25)),TEXT(INDEX(T_Due,$L25),"dd/mm/yy"),"—")&amp;IF(INDEX(T_Prio,$L25)="גבוהה","   🔥","")&amp;IF(INDEX(T_Eff,$L25)="תקוע","   ⛔ תקוע",""))</f>
        <v/>
      </c>
      <c r="D25" s="153">
        <f>IF($M25="","",INDEX(T_ID,$M25)&amp;"  ·  "&amp;INDEX(T_Task,$M25)&amp;CHAR(10)&amp;"👤 "&amp;INDEX(T_Owner,$M25)&amp;"   🎯 "&amp;IF(ISNUMBER(INDEX(T_Due,$M25)),TEXT(INDEX(T_Due,$M25),"dd/mm/yy"),"—")&amp;IF(INDEX(T_Prio,$M25)="גבוהה","   🔥","")&amp;IF(INDEX(T_Eff,$M25)="תקוע","   ⛔ תקוע",""))</f>
        <v/>
      </c>
      <c r="E25" s="153">
        <f>IF($N25="","",INDEX(T_ID,$N25)&amp;"  ·  "&amp;INDEX(T_Task,$N25)&amp;CHAR(10)&amp;"👤 "&amp;INDEX(T_Owner,$N25)&amp;"   🎯 "&amp;IF(ISNUMBER(INDEX(T_Due,$N25)),TEXT(INDEX(T_Due,$N25),"dd/mm/yy"),"—")&amp;IF(INDEX(T_Prio,$N25)="גבוהה","   🔥","")&amp;IF(INDEX(T_Eff,$N25)="תקוע","   ⛔ תקוע",""))</f>
        <v/>
      </c>
      <c r="F25" s="153">
        <f>IF($O25="","",INDEX(T_ID,$O25)&amp;"  ·  "&amp;INDEX(T_Task,$O25)&amp;CHAR(10)&amp;"👤 "&amp;INDEX(T_Owner,$O25)&amp;"   🎯 "&amp;IF(ISNUMBER(INDEX(T_Due,$O25)),TEXT(INDEX(T_Due,$O25),"dd/mm/yy"),"—")&amp;IF(INDEX(T_Prio,$O25)="גבוהה","   🔥","")&amp;IF(INDEX(T_Eff,$O25)="תקוע","   ⛔ תקוע",""))</f>
        <v/>
      </c>
      <c r="G25" s="153">
        <f>IF($P25="","",INDEX(T_ID,$P25)&amp;"  ·  "&amp;INDEX(T_Task,$P25)&amp;CHAR(10)&amp;"👤 "&amp;INDEX(T_Owner,$P25)&amp;"   🎯 "&amp;IF(ISNUMBER(INDEX(T_Due,$P25)),TEXT(INDEX(T_Due,$P25),"dd/mm/yy"),"—")&amp;IF(INDEX(T_Prio,$P25)="גבוהה","   🔥","")&amp;IF(INDEX(T_Eff,$P25)="תקוע","   ⛔ תקוע",""))</f>
        <v/>
      </c>
      <c r="K25">
        <f>IFERROR(IF(SMALL(T_Kan,COUNTIF(T_Kan,"&lt;"&amp;1*100000)+20)&lt;2*100000,MATCH(SMALL(T_Kan,COUNTIF(T_Kan,"&lt;"&amp;1*100000)+20),T_Kan,0),""),"")</f>
        <v/>
      </c>
      <c r="L25">
        <f>IFERROR(IF(SMALL(T_Kan,COUNTIF(T_Kan,"&lt;"&amp;2*100000)+20)&lt;3*100000,MATCH(SMALL(T_Kan,COUNTIF(T_Kan,"&lt;"&amp;2*100000)+20),T_Kan,0),""),"")</f>
        <v/>
      </c>
      <c r="M25">
        <f>IFERROR(IF(SMALL(T_Kan,COUNTIF(T_Kan,"&lt;"&amp;3*100000)+20)&lt;4*100000,MATCH(SMALL(T_Kan,COUNTIF(T_Kan,"&lt;"&amp;3*100000)+20),T_Kan,0),""),"")</f>
        <v/>
      </c>
      <c r="N25">
        <f>IFERROR(IF(SMALL(T_Kan,COUNTIF(T_Kan,"&lt;"&amp;4*100000)+20)&lt;5*100000,MATCH(SMALL(T_Kan,COUNTIF(T_Kan,"&lt;"&amp;4*100000)+20),T_Kan,0),""),"")</f>
        <v/>
      </c>
      <c r="O25">
        <f>IFERROR(IF(SMALL(T_Kan,COUNTIF(T_Kan,"&lt;"&amp;5*100000)+20)&lt;6*100000,MATCH(SMALL(T_Kan,COUNTIF(T_Kan,"&lt;"&amp;5*100000)+20),T_Kan,0),""),"")</f>
        <v/>
      </c>
      <c r="P25">
        <f>IFERROR(IF(SMALL(T_Kan,COUNTIF(T_Kan,"&lt;"&amp;6*100000)+20)&lt;7*100000,MATCH(SMALL(T_Kan,COUNTIF(T_Kan,"&lt;"&amp;6*100000)+20),T_Kan,0),""),"")</f>
        <v/>
      </c>
    </row>
    <row r="26" ht="46" customHeight="1">
      <c r="B26" s="153">
        <f>IF($K26="","",INDEX(T_ID,$K26)&amp;"  ·  "&amp;INDEX(T_Task,$K26)&amp;CHAR(10)&amp;"👤 "&amp;INDEX(T_Owner,$K26)&amp;"   🎯 "&amp;IF(ISNUMBER(INDEX(T_Due,$K26)),TEXT(INDEX(T_Due,$K26),"dd/mm/yy"),"—")&amp;IF(INDEX(T_Prio,$K26)="גבוהה","   🔥","")&amp;IF(INDEX(T_Eff,$K26)="תקוע","   ⛔ תקוע",""))</f>
        <v/>
      </c>
      <c r="C26" s="153">
        <f>IF($L26="","",INDEX(T_ID,$L26)&amp;"  ·  "&amp;INDEX(T_Task,$L26)&amp;CHAR(10)&amp;"👤 "&amp;INDEX(T_Owner,$L26)&amp;"   🎯 "&amp;IF(ISNUMBER(INDEX(T_Due,$L26)),TEXT(INDEX(T_Due,$L26),"dd/mm/yy"),"—")&amp;IF(INDEX(T_Prio,$L26)="גבוהה","   🔥","")&amp;IF(INDEX(T_Eff,$L26)="תקוע","   ⛔ תקוע",""))</f>
        <v/>
      </c>
      <c r="D26" s="153">
        <f>IF($M26="","",INDEX(T_ID,$M26)&amp;"  ·  "&amp;INDEX(T_Task,$M26)&amp;CHAR(10)&amp;"👤 "&amp;INDEX(T_Owner,$M26)&amp;"   🎯 "&amp;IF(ISNUMBER(INDEX(T_Due,$M26)),TEXT(INDEX(T_Due,$M26),"dd/mm/yy"),"—")&amp;IF(INDEX(T_Prio,$M26)="גבוהה","   🔥","")&amp;IF(INDEX(T_Eff,$M26)="תקוע","   ⛔ תקוע",""))</f>
        <v/>
      </c>
      <c r="E26" s="153">
        <f>IF($N26="","",INDEX(T_ID,$N26)&amp;"  ·  "&amp;INDEX(T_Task,$N26)&amp;CHAR(10)&amp;"👤 "&amp;INDEX(T_Owner,$N26)&amp;"   🎯 "&amp;IF(ISNUMBER(INDEX(T_Due,$N26)),TEXT(INDEX(T_Due,$N26),"dd/mm/yy"),"—")&amp;IF(INDEX(T_Prio,$N26)="גבוהה","   🔥","")&amp;IF(INDEX(T_Eff,$N26)="תקוע","   ⛔ תקוע",""))</f>
        <v/>
      </c>
      <c r="F26" s="153">
        <f>IF($O26="","",INDEX(T_ID,$O26)&amp;"  ·  "&amp;INDEX(T_Task,$O26)&amp;CHAR(10)&amp;"👤 "&amp;INDEX(T_Owner,$O26)&amp;"   🎯 "&amp;IF(ISNUMBER(INDEX(T_Due,$O26)),TEXT(INDEX(T_Due,$O26),"dd/mm/yy"),"—")&amp;IF(INDEX(T_Prio,$O26)="גבוהה","   🔥","")&amp;IF(INDEX(T_Eff,$O26)="תקוע","   ⛔ תקוע",""))</f>
        <v/>
      </c>
      <c r="G26" s="153">
        <f>IF($P26="","",INDEX(T_ID,$P26)&amp;"  ·  "&amp;INDEX(T_Task,$P26)&amp;CHAR(10)&amp;"👤 "&amp;INDEX(T_Owner,$P26)&amp;"   🎯 "&amp;IF(ISNUMBER(INDEX(T_Due,$P26)),TEXT(INDEX(T_Due,$P26),"dd/mm/yy"),"—")&amp;IF(INDEX(T_Prio,$P26)="גבוהה","   🔥","")&amp;IF(INDEX(T_Eff,$P26)="תקוע","   ⛔ תקוע",""))</f>
        <v/>
      </c>
      <c r="K26">
        <f>IFERROR(IF(SMALL(T_Kan,COUNTIF(T_Kan,"&lt;"&amp;1*100000)+21)&lt;2*100000,MATCH(SMALL(T_Kan,COUNTIF(T_Kan,"&lt;"&amp;1*100000)+21),T_Kan,0),""),"")</f>
        <v/>
      </c>
      <c r="L26">
        <f>IFERROR(IF(SMALL(T_Kan,COUNTIF(T_Kan,"&lt;"&amp;2*100000)+21)&lt;3*100000,MATCH(SMALL(T_Kan,COUNTIF(T_Kan,"&lt;"&amp;2*100000)+21),T_Kan,0),""),"")</f>
        <v/>
      </c>
      <c r="M26">
        <f>IFERROR(IF(SMALL(T_Kan,COUNTIF(T_Kan,"&lt;"&amp;3*100000)+21)&lt;4*100000,MATCH(SMALL(T_Kan,COUNTIF(T_Kan,"&lt;"&amp;3*100000)+21),T_Kan,0),""),"")</f>
        <v/>
      </c>
      <c r="N26">
        <f>IFERROR(IF(SMALL(T_Kan,COUNTIF(T_Kan,"&lt;"&amp;4*100000)+21)&lt;5*100000,MATCH(SMALL(T_Kan,COUNTIF(T_Kan,"&lt;"&amp;4*100000)+21),T_Kan,0),""),"")</f>
        <v/>
      </c>
      <c r="O26">
        <f>IFERROR(IF(SMALL(T_Kan,COUNTIF(T_Kan,"&lt;"&amp;5*100000)+21)&lt;6*100000,MATCH(SMALL(T_Kan,COUNTIF(T_Kan,"&lt;"&amp;5*100000)+21),T_Kan,0),""),"")</f>
        <v/>
      </c>
      <c r="P26">
        <f>IFERROR(IF(SMALL(T_Kan,COUNTIF(T_Kan,"&lt;"&amp;6*100000)+21)&lt;7*100000,MATCH(SMALL(T_Kan,COUNTIF(T_Kan,"&lt;"&amp;6*100000)+21),T_Kan,0),""),"")</f>
        <v/>
      </c>
    </row>
    <row r="27" ht="46" customHeight="1">
      <c r="B27" s="153">
        <f>IF($K27="","",INDEX(T_ID,$K27)&amp;"  ·  "&amp;INDEX(T_Task,$K27)&amp;CHAR(10)&amp;"👤 "&amp;INDEX(T_Owner,$K27)&amp;"   🎯 "&amp;IF(ISNUMBER(INDEX(T_Due,$K27)),TEXT(INDEX(T_Due,$K27),"dd/mm/yy"),"—")&amp;IF(INDEX(T_Prio,$K27)="גבוהה","   🔥","")&amp;IF(INDEX(T_Eff,$K27)="תקוע","   ⛔ תקוע",""))</f>
        <v/>
      </c>
      <c r="C27" s="153">
        <f>IF($L27="","",INDEX(T_ID,$L27)&amp;"  ·  "&amp;INDEX(T_Task,$L27)&amp;CHAR(10)&amp;"👤 "&amp;INDEX(T_Owner,$L27)&amp;"   🎯 "&amp;IF(ISNUMBER(INDEX(T_Due,$L27)),TEXT(INDEX(T_Due,$L27),"dd/mm/yy"),"—")&amp;IF(INDEX(T_Prio,$L27)="גבוהה","   🔥","")&amp;IF(INDEX(T_Eff,$L27)="תקוע","   ⛔ תקוע",""))</f>
        <v/>
      </c>
      <c r="D27" s="153">
        <f>IF($M27="","",INDEX(T_ID,$M27)&amp;"  ·  "&amp;INDEX(T_Task,$M27)&amp;CHAR(10)&amp;"👤 "&amp;INDEX(T_Owner,$M27)&amp;"   🎯 "&amp;IF(ISNUMBER(INDEX(T_Due,$M27)),TEXT(INDEX(T_Due,$M27),"dd/mm/yy"),"—")&amp;IF(INDEX(T_Prio,$M27)="גבוהה","   🔥","")&amp;IF(INDEX(T_Eff,$M27)="תקוע","   ⛔ תקוע",""))</f>
        <v/>
      </c>
      <c r="E27" s="153">
        <f>IF($N27="","",INDEX(T_ID,$N27)&amp;"  ·  "&amp;INDEX(T_Task,$N27)&amp;CHAR(10)&amp;"👤 "&amp;INDEX(T_Owner,$N27)&amp;"   🎯 "&amp;IF(ISNUMBER(INDEX(T_Due,$N27)),TEXT(INDEX(T_Due,$N27),"dd/mm/yy"),"—")&amp;IF(INDEX(T_Prio,$N27)="גבוהה","   🔥","")&amp;IF(INDEX(T_Eff,$N27)="תקוע","   ⛔ תקוע",""))</f>
        <v/>
      </c>
      <c r="F27" s="153">
        <f>IF($O27="","",INDEX(T_ID,$O27)&amp;"  ·  "&amp;INDEX(T_Task,$O27)&amp;CHAR(10)&amp;"👤 "&amp;INDEX(T_Owner,$O27)&amp;"   🎯 "&amp;IF(ISNUMBER(INDEX(T_Due,$O27)),TEXT(INDEX(T_Due,$O27),"dd/mm/yy"),"—")&amp;IF(INDEX(T_Prio,$O27)="גבוהה","   🔥","")&amp;IF(INDEX(T_Eff,$O27)="תקוע","   ⛔ תקוע",""))</f>
        <v/>
      </c>
      <c r="G27" s="153">
        <f>IF($P27="","",INDEX(T_ID,$P27)&amp;"  ·  "&amp;INDEX(T_Task,$P27)&amp;CHAR(10)&amp;"👤 "&amp;INDEX(T_Owner,$P27)&amp;"   🎯 "&amp;IF(ISNUMBER(INDEX(T_Due,$P27)),TEXT(INDEX(T_Due,$P27),"dd/mm/yy"),"—")&amp;IF(INDEX(T_Prio,$P27)="גבוהה","   🔥","")&amp;IF(INDEX(T_Eff,$P27)="תקוע","   ⛔ תקוע",""))</f>
        <v/>
      </c>
      <c r="K27">
        <f>IFERROR(IF(SMALL(T_Kan,COUNTIF(T_Kan,"&lt;"&amp;1*100000)+22)&lt;2*100000,MATCH(SMALL(T_Kan,COUNTIF(T_Kan,"&lt;"&amp;1*100000)+22),T_Kan,0),""),"")</f>
        <v/>
      </c>
      <c r="L27">
        <f>IFERROR(IF(SMALL(T_Kan,COUNTIF(T_Kan,"&lt;"&amp;2*100000)+22)&lt;3*100000,MATCH(SMALL(T_Kan,COUNTIF(T_Kan,"&lt;"&amp;2*100000)+22),T_Kan,0),""),"")</f>
        <v/>
      </c>
      <c r="M27">
        <f>IFERROR(IF(SMALL(T_Kan,COUNTIF(T_Kan,"&lt;"&amp;3*100000)+22)&lt;4*100000,MATCH(SMALL(T_Kan,COUNTIF(T_Kan,"&lt;"&amp;3*100000)+22),T_Kan,0),""),"")</f>
        <v/>
      </c>
      <c r="N27">
        <f>IFERROR(IF(SMALL(T_Kan,COUNTIF(T_Kan,"&lt;"&amp;4*100000)+22)&lt;5*100000,MATCH(SMALL(T_Kan,COUNTIF(T_Kan,"&lt;"&amp;4*100000)+22),T_Kan,0),""),"")</f>
        <v/>
      </c>
      <c r="O27">
        <f>IFERROR(IF(SMALL(T_Kan,COUNTIF(T_Kan,"&lt;"&amp;5*100000)+22)&lt;6*100000,MATCH(SMALL(T_Kan,COUNTIF(T_Kan,"&lt;"&amp;5*100000)+22),T_Kan,0),""),"")</f>
        <v/>
      </c>
      <c r="P27">
        <f>IFERROR(IF(SMALL(T_Kan,COUNTIF(T_Kan,"&lt;"&amp;6*100000)+22)&lt;7*100000,MATCH(SMALL(T_Kan,COUNTIF(T_Kan,"&lt;"&amp;6*100000)+22),T_Kan,0),""),"")</f>
        <v/>
      </c>
    </row>
    <row r="28" ht="46" customHeight="1">
      <c r="B28" s="153">
        <f>IF($K28="","",INDEX(T_ID,$K28)&amp;"  ·  "&amp;INDEX(T_Task,$K28)&amp;CHAR(10)&amp;"👤 "&amp;INDEX(T_Owner,$K28)&amp;"   🎯 "&amp;IF(ISNUMBER(INDEX(T_Due,$K28)),TEXT(INDEX(T_Due,$K28),"dd/mm/yy"),"—")&amp;IF(INDEX(T_Prio,$K28)="גבוהה","   🔥","")&amp;IF(INDEX(T_Eff,$K28)="תקוע","   ⛔ תקוע",""))</f>
        <v/>
      </c>
      <c r="C28" s="153">
        <f>IF($L28="","",INDEX(T_ID,$L28)&amp;"  ·  "&amp;INDEX(T_Task,$L28)&amp;CHAR(10)&amp;"👤 "&amp;INDEX(T_Owner,$L28)&amp;"   🎯 "&amp;IF(ISNUMBER(INDEX(T_Due,$L28)),TEXT(INDEX(T_Due,$L28),"dd/mm/yy"),"—")&amp;IF(INDEX(T_Prio,$L28)="גבוהה","   🔥","")&amp;IF(INDEX(T_Eff,$L28)="תקוע","   ⛔ תקוע",""))</f>
        <v/>
      </c>
      <c r="D28" s="153">
        <f>IF($M28="","",INDEX(T_ID,$M28)&amp;"  ·  "&amp;INDEX(T_Task,$M28)&amp;CHAR(10)&amp;"👤 "&amp;INDEX(T_Owner,$M28)&amp;"   🎯 "&amp;IF(ISNUMBER(INDEX(T_Due,$M28)),TEXT(INDEX(T_Due,$M28),"dd/mm/yy"),"—")&amp;IF(INDEX(T_Prio,$M28)="גבוהה","   🔥","")&amp;IF(INDEX(T_Eff,$M28)="תקוע","   ⛔ תקוע",""))</f>
        <v/>
      </c>
      <c r="E28" s="153">
        <f>IF($N28="","",INDEX(T_ID,$N28)&amp;"  ·  "&amp;INDEX(T_Task,$N28)&amp;CHAR(10)&amp;"👤 "&amp;INDEX(T_Owner,$N28)&amp;"   🎯 "&amp;IF(ISNUMBER(INDEX(T_Due,$N28)),TEXT(INDEX(T_Due,$N28),"dd/mm/yy"),"—")&amp;IF(INDEX(T_Prio,$N28)="גבוהה","   🔥","")&amp;IF(INDEX(T_Eff,$N28)="תקוע","   ⛔ תקוע",""))</f>
        <v/>
      </c>
      <c r="F28" s="153">
        <f>IF($O28="","",INDEX(T_ID,$O28)&amp;"  ·  "&amp;INDEX(T_Task,$O28)&amp;CHAR(10)&amp;"👤 "&amp;INDEX(T_Owner,$O28)&amp;"   🎯 "&amp;IF(ISNUMBER(INDEX(T_Due,$O28)),TEXT(INDEX(T_Due,$O28),"dd/mm/yy"),"—")&amp;IF(INDEX(T_Prio,$O28)="גבוהה","   🔥","")&amp;IF(INDEX(T_Eff,$O28)="תקוע","   ⛔ תקוע",""))</f>
        <v/>
      </c>
      <c r="G28" s="153">
        <f>IF($P28="","",INDEX(T_ID,$P28)&amp;"  ·  "&amp;INDEX(T_Task,$P28)&amp;CHAR(10)&amp;"👤 "&amp;INDEX(T_Owner,$P28)&amp;"   🎯 "&amp;IF(ISNUMBER(INDEX(T_Due,$P28)),TEXT(INDEX(T_Due,$P28),"dd/mm/yy"),"—")&amp;IF(INDEX(T_Prio,$P28)="גבוהה","   🔥","")&amp;IF(INDEX(T_Eff,$P28)="תקוע","   ⛔ תקוע",""))</f>
        <v/>
      </c>
      <c r="K28">
        <f>IFERROR(IF(SMALL(T_Kan,COUNTIF(T_Kan,"&lt;"&amp;1*100000)+23)&lt;2*100000,MATCH(SMALL(T_Kan,COUNTIF(T_Kan,"&lt;"&amp;1*100000)+23),T_Kan,0),""),"")</f>
        <v/>
      </c>
      <c r="L28">
        <f>IFERROR(IF(SMALL(T_Kan,COUNTIF(T_Kan,"&lt;"&amp;2*100000)+23)&lt;3*100000,MATCH(SMALL(T_Kan,COUNTIF(T_Kan,"&lt;"&amp;2*100000)+23),T_Kan,0),""),"")</f>
        <v/>
      </c>
      <c r="M28">
        <f>IFERROR(IF(SMALL(T_Kan,COUNTIF(T_Kan,"&lt;"&amp;3*100000)+23)&lt;4*100000,MATCH(SMALL(T_Kan,COUNTIF(T_Kan,"&lt;"&amp;3*100000)+23),T_Kan,0),""),"")</f>
        <v/>
      </c>
      <c r="N28">
        <f>IFERROR(IF(SMALL(T_Kan,COUNTIF(T_Kan,"&lt;"&amp;4*100000)+23)&lt;5*100000,MATCH(SMALL(T_Kan,COUNTIF(T_Kan,"&lt;"&amp;4*100000)+23),T_Kan,0),""),"")</f>
        <v/>
      </c>
      <c r="O28">
        <f>IFERROR(IF(SMALL(T_Kan,COUNTIF(T_Kan,"&lt;"&amp;5*100000)+23)&lt;6*100000,MATCH(SMALL(T_Kan,COUNTIF(T_Kan,"&lt;"&amp;5*100000)+23),T_Kan,0),""),"")</f>
        <v/>
      </c>
      <c r="P28">
        <f>IFERROR(IF(SMALL(T_Kan,COUNTIF(T_Kan,"&lt;"&amp;6*100000)+23)&lt;7*100000,MATCH(SMALL(T_Kan,COUNTIF(T_Kan,"&lt;"&amp;6*100000)+23),T_Kan,0),""),"")</f>
        <v/>
      </c>
    </row>
    <row r="29" ht="46" customHeight="1">
      <c r="B29" s="153">
        <f>IF($K29="","",INDEX(T_ID,$K29)&amp;"  ·  "&amp;INDEX(T_Task,$K29)&amp;CHAR(10)&amp;"👤 "&amp;INDEX(T_Owner,$K29)&amp;"   🎯 "&amp;IF(ISNUMBER(INDEX(T_Due,$K29)),TEXT(INDEX(T_Due,$K29),"dd/mm/yy"),"—")&amp;IF(INDEX(T_Prio,$K29)="גבוהה","   🔥","")&amp;IF(INDEX(T_Eff,$K29)="תקוע","   ⛔ תקוע",""))</f>
        <v/>
      </c>
      <c r="C29" s="153">
        <f>IF($L29="","",INDEX(T_ID,$L29)&amp;"  ·  "&amp;INDEX(T_Task,$L29)&amp;CHAR(10)&amp;"👤 "&amp;INDEX(T_Owner,$L29)&amp;"   🎯 "&amp;IF(ISNUMBER(INDEX(T_Due,$L29)),TEXT(INDEX(T_Due,$L29),"dd/mm/yy"),"—")&amp;IF(INDEX(T_Prio,$L29)="גבוהה","   🔥","")&amp;IF(INDEX(T_Eff,$L29)="תקוע","   ⛔ תקוע",""))</f>
        <v/>
      </c>
      <c r="D29" s="153">
        <f>IF($M29="","",INDEX(T_ID,$M29)&amp;"  ·  "&amp;INDEX(T_Task,$M29)&amp;CHAR(10)&amp;"👤 "&amp;INDEX(T_Owner,$M29)&amp;"   🎯 "&amp;IF(ISNUMBER(INDEX(T_Due,$M29)),TEXT(INDEX(T_Due,$M29),"dd/mm/yy"),"—")&amp;IF(INDEX(T_Prio,$M29)="גבוהה","   🔥","")&amp;IF(INDEX(T_Eff,$M29)="תקוע","   ⛔ תקוע",""))</f>
        <v/>
      </c>
      <c r="E29" s="153">
        <f>IF($N29="","",INDEX(T_ID,$N29)&amp;"  ·  "&amp;INDEX(T_Task,$N29)&amp;CHAR(10)&amp;"👤 "&amp;INDEX(T_Owner,$N29)&amp;"   🎯 "&amp;IF(ISNUMBER(INDEX(T_Due,$N29)),TEXT(INDEX(T_Due,$N29),"dd/mm/yy"),"—")&amp;IF(INDEX(T_Prio,$N29)="גבוהה","   🔥","")&amp;IF(INDEX(T_Eff,$N29)="תקוע","   ⛔ תקוע",""))</f>
        <v/>
      </c>
      <c r="F29" s="153">
        <f>IF($O29="","",INDEX(T_ID,$O29)&amp;"  ·  "&amp;INDEX(T_Task,$O29)&amp;CHAR(10)&amp;"👤 "&amp;INDEX(T_Owner,$O29)&amp;"   🎯 "&amp;IF(ISNUMBER(INDEX(T_Due,$O29)),TEXT(INDEX(T_Due,$O29),"dd/mm/yy"),"—")&amp;IF(INDEX(T_Prio,$O29)="גבוהה","   🔥","")&amp;IF(INDEX(T_Eff,$O29)="תקוע","   ⛔ תקוע",""))</f>
        <v/>
      </c>
      <c r="G29" s="153">
        <f>IF($P29="","",INDEX(T_ID,$P29)&amp;"  ·  "&amp;INDEX(T_Task,$P29)&amp;CHAR(10)&amp;"👤 "&amp;INDEX(T_Owner,$P29)&amp;"   🎯 "&amp;IF(ISNUMBER(INDEX(T_Due,$P29)),TEXT(INDEX(T_Due,$P29),"dd/mm/yy"),"—")&amp;IF(INDEX(T_Prio,$P29)="גבוהה","   🔥","")&amp;IF(INDEX(T_Eff,$P29)="תקוע","   ⛔ תקוע",""))</f>
        <v/>
      </c>
      <c r="K29">
        <f>IFERROR(IF(SMALL(T_Kan,COUNTIF(T_Kan,"&lt;"&amp;1*100000)+24)&lt;2*100000,MATCH(SMALL(T_Kan,COUNTIF(T_Kan,"&lt;"&amp;1*100000)+24),T_Kan,0),""),"")</f>
        <v/>
      </c>
      <c r="L29">
        <f>IFERROR(IF(SMALL(T_Kan,COUNTIF(T_Kan,"&lt;"&amp;2*100000)+24)&lt;3*100000,MATCH(SMALL(T_Kan,COUNTIF(T_Kan,"&lt;"&amp;2*100000)+24),T_Kan,0),""),"")</f>
        <v/>
      </c>
      <c r="M29">
        <f>IFERROR(IF(SMALL(T_Kan,COUNTIF(T_Kan,"&lt;"&amp;3*100000)+24)&lt;4*100000,MATCH(SMALL(T_Kan,COUNTIF(T_Kan,"&lt;"&amp;3*100000)+24),T_Kan,0),""),"")</f>
        <v/>
      </c>
      <c r="N29">
        <f>IFERROR(IF(SMALL(T_Kan,COUNTIF(T_Kan,"&lt;"&amp;4*100000)+24)&lt;5*100000,MATCH(SMALL(T_Kan,COUNTIF(T_Kan,"&lt;"&amp;4*100000)+24),T_Kan,0),""),"")</f>
        <v/>
      </c>
      <c r="O29">
        <f>IFERROR(IF(SMALL(T_Kan,COUNTIF(T_Kan,"&lt;"&amp;5*100000)+24)&lt;6*100000,MATCH(SMALL(T_Kan,COUNTIF(T_Kan,"&lt;"&amp;5*100000)+24),T_Kan,0),""),"")</f>
        <v/>
      </c>
      <c r="P29">
        <f>IFERROR(IF(SMALL(T_Kan,COUNTIF(T_Kan,"&lt;"&amp;6*100000)+24)&lt;7*100000,MATCH(SMALL(T_Kan,COUNTIF(T_Kan,"&lt;"&amp;6*100000)+24),T_Kan,0),""),"")</f>
        <v/>
      </c>
    </row>
    <row r="30" ht="46" customHeight="1">
      <c r="B30" s="153">
        <f>IF($K30="","",INDEX(T_ID,$K30)&amp;"  ·  "&amp;INDEX(T_Task,$K30)&amp;CHAR(10)&amp;"👤 "&amp;INDEX(T_Owner,$K30)&amp;"   🎯 "&amp;IF(ISNUMBER(INDEX(T_Due,$K30)),TEXT(INDEX(T_Due,$K30),"dd/mm/yy"),"—")&amp;IF(INDEX(T_Prio,$K30)="גבוהה","   🔥","")&amp;IF(INDEX(T_Eff,$K30)="תקוע","   ⛔ תקוע",""))</f>
        <v/>
      </c>
      <c r="C30" s="153">
        <f>IF($L30="","",INDEX(T_ID,$L30)&amp;"  ·  "&amp;INDEX(T_Task,$L30)&amp;CHAR(10)&amp;"👤 "&amp;INDEX(T_Owner,$L30)&amp;"   🎯 "&amp;IF(ISNUMBER(INDEX(T_Due,$L30)),TEXT(INDEX(T_Due,$L30),"dd/mm/yy"),"—")&amp;IF(INDEX(T_Prio,$L30)="גבוהה","   🔥","")&amp;IF(INDEX(T_Eff,$L30)="תקוע","   ⛔ תקוע",""))</f>
        <v/>
      </c>
      <c r="D30" s="153">
        <f>IF($M30="","",INDEX(T_ID,$M30)&amp;"  ·  "&amp;INDEX(T_Task,$M30)&amp;CHAR(10)&amp;"👤 "&amp;INDEX(T_Owner,$M30)&amp;"   🎯 "&amp;IF(ISNUMBER(INDEX(T_Due,$M30)),TEXT(INDEX(T_Due,$M30),"dd/mm/yy"),"—")&amp;IF(INDEX(T_Prio,$M30)="גבוהה","   🔥","")&amp;IF(INDEX(T_Eff,$M30)="תקוע","   ⛔ תקוע",""))</f>
        <v/>
      </c>
      <c r="E30" s="153">
        <f>IF($N30="","",INDEX(T_ID,$N30)&amp;"  ·  "&amp;INDEX(T_Task,$N30)&amp;CHAR(10)&amp;"👤 "&amp;INDEX(T_Owner,$N30)&amp;"   🎯 "&amp;IF(ISNUMBER(INDEX(T_Due,$N30)),TEXT(INDEX(T_Due,$N30),"dd/mm/yy"),"—")&amp;IF(INDEX(T_Prio,$N30)="גבוהה","   🔥","")&amp;IF(INDEX(T_Eff,$N30)="תקוע","   ⛔ תקוע",""))</f>
        <v/>
      </c>
      <c r="F30" s="153">
        <f>IF($O30="","",INDEX(T_ID,$O30)&amp;"  ·  "&amp;INDEX(T_Task,$O30)&amp;CHAR(10)&amp;"👤 "&amp;INDEX(T_Owner,$O30)&amp;"   🎯 "&amp;IF(ISNUMBER(INDEX(T_Due,$O30)),TEXT(INDEX(T_Due,$O30),"dd/mm/yy"),"—")&amp;IF(INDEX(T_Prio,$O30)="גבוהה","   🔥","")&amp;IF(INDEX(T_Eff,$O30)="תקוע","   ⛔ תקוע",""))</f>
        <v/>
      </c>
      <c r="G30" s="153">
        <f>IF($P30="","",INDEX(T_ID,$P30)&amp;"  ·  "&amp;INDEX(T_Task,$P30)&amp;CHAR(10)&amp;"👤 "&amp;INDEX(T_Owner,$P30)&amp;"   🎯 "&amp;IF(ISNUMBER(INDEX(T_Due,$P30)),TEXT(INDEX(T_Due,$P30),"dd/mm/yy"),"—")&amp;IF(INDEX(T_Prio,$P30)="גבוהה","   🔥","")&amp;IF(INDEX(T_Eff,$P30)="תקוע","   ⛔ תקוע",""))</f>
        <v/>
      </c>
      <c r="K30">
        <f>IFERROR(IF(SMALL(T_Kan,COUNTIF(T_Kan,"&lt;"&amp;1*100000)+25)&lt;2*100000,MATCH(SMALL(T_Kan,COUNTIF(T_Kan,"&lt;"&amp;1*100000)+25),T_Kan,0),""),"")</f>
        <v/>
      </c>
      <c r="L30">
        <f>IFERROR(IF(SMALL(T_Kan,COUNTIF(T_Kan,"&lt;"&amp;2*100000)+25)&lt;3*100000,MATCH(SMALL(T_Kan,COUNTIF(T_Kan,"&lt;"&amp;2*100000)+25),T_Kan,0),""),"")</f>
        <v/>
      </c>
      <c r="M30">
        <f>IFERROR(IF(SMALL(T_Kan,COUNTIF(T_Kan,"&lt;"&amp;3*100000)+25)&lt;4*100000,MATCH(SMALL(T_Kan,COUNTIF(T_Kan,"&lt;"&amp;3*100000)+25),T_Kan,0),""),"")</f>
        <v/>
      </c>
      <c r="N30">
        <f>IFERROR(IF(SMALL(T_Kan,COUNTIF(T_Kan,"&lt;"&amp;4*100000)+25)&lt;5*100000,MATCH(SMALL(T_Kan,COUNTIF(T_Kan,"&lt;"&amp;4*100000)+25),T_Kan,0),""),"")</f>
        <v/>
      </c>
      <c r="O30">
        <f>IFERROR(IF(SMALL(T_Kan,COUNTIF(T_Kan,"&lt;"&amp;5*100000)+25)&lt;6*100000,MATCH(SMALL(T_Kan,COUNTIF(T_Kan,"&lt;"&amp;5*100000)+25),T_Kan,0),""),"")</f>
        <v/>
      </c>
      <c r="P30">
        <f>IFERROR(IF(SMALL(T_Kan,COUNTIF(T_Kan,"&lt;"&amp;6*100000)+25)&lt;7*100000,MATCH(SMALL(T_Kan,COUNTIF(T_Kan,"&lt;"&amp;6*100000)+25),T_Kan,0),""),"")</f>
        <v/>
      </c>
    </row>
    <row r="31" ht="46" customHeight="1">
      <c r="B31" s="153">
        <f>IF($K31="","",INDEX(T_ID,$K31)&amp;"  ·  "&amp;INDEX(T_Task,$K31)&amp;CHAR(10)&amp;"👤 "&amp;INDEX(T_Owner,$K31)&amp;"   🎯 "&amp;IF(ISNUMBER(INDEX(T_Due,$K31)),TEXT(INDEX(T_Due,$K31),"dd/mm/yy"),"—")&amp;IF(INDEX(T_Prio,$K31)="גבוהה","   🔥","")&amp;IF(INDEX(T_Eff,$K31)="תקוע","   ⛔ תקוע",""))</f>
        <v/>
      </c>
      <c r="C31" s="153">
        <f>IF($L31="","",INDEX(T_ID,$L31)&amp;"  ·  "&amp;INDEX(T_Task,$L31)&amp;CHAR(10)&amp;"👤 "&amp;INDEX(T_Owner,$L31)&amp;"   🎯 "&amp;IF(ISNUMBER(INDEX(T_Due,$L31)),TEXT(INDEX(T_Due,$L31),"dd/mm/yy"),"—")&amp;IF(INDEX(T_Prio,$L31)="גבוהה","   🔥","")&amp;IF(INDEX(T_Eff,$L31)="תקוע","   ⛔ תקוע",""))</f>
        <v/>
      </c>
      <c r="D31" s="153">
        <f>IF($M31="","",INDEX(T_ID,$M31)&amp;"  ·  "&amp;INDEX(T_Task,$M31)&amp;CHAR(10)&amp;"👤 "&amp;INDEX(T_Owner,$M31)&amp;"   🎯 "&amp;IF(ISNUMBER(INDEX(T_Due,$M31)),TEXT(INDEX(T_Due,$M31),"dd/mm/yy"),"—")&amp;IF(INDEX(T_Prio,$M31)="גבוהה","   🔥","")&amp;IF(INDEX(T_Eff,$M31)="תקוע","   ⛔ תקוע",""))</f>
        <v/>
      </c>
      <c r="E31" s="153">
        <f>IF($N31="","",INDEX(T_ID,$N31)&amp;"  ·  "&amp;INDEX(T_Task,$N31)&amp;CHAR(10)&amp;"👤 "&amp;INDEX(T_Owner,$N31)&amp;"   🎯 "&amp;IF(ISNUMBER(INDEX(T_Due,$N31)),TEXT(INDEX(T_Due,$N31),"dd/mm/yy"),"—")&amp;IF(INDEX(T_Prio,$N31)="גבוהה","   🔥","")&amp;IF(INDEX(T_Eff,$N31)="תקוע","   ⛔ תקוע",""))</f>
        <v/>
      </c>
      <c r="F31" s="153">
        <f>IF($O31="","",INDEX(T_ID,$O31)&amp;"  ·  "&amp;INDEX(T_Task,$O31)&amp;CHAR(10)&amp;"👤 "&amp;INDEX(T_Owner,$O31)&amp;"   🎯 "&amp;IF(ISNUMBER(INDEX(T_Due,$O31)),TEXT(INDEX(T_Due,$O31),"dd/mm/yy"),"—")&amp;IF(INDEX(T_Prio,$O31)="גבוהה","   🔥","")&amp;IF(INDEX(T_Eff,$O31)="תקוע","   ⛔ תקוע",""))</f>
        <v/>
      </c>
      <c r="G31" s="153">
        <f>IF($P31="","",INDEX(T_ID,$P31)&amp;"  ·  "&amp;INDEX(T_Task,$P31)&amp;CHAR(10)&amp;"👤 "&amp;INDEX(T_Owner,$P31)&amp;"   🎯 "&amp;IF(ISNUMBER(INDEX(T_Due,$P31)),TEXT(INDEX(T_Due,$P31),"dd/mm/yy"),"—")&amp;IF(INDEX(T_Prio,$P31)="גבוהה","   🔥","")&amp;IF(INDEX(T_Eff,$P31)="תקוע","   ⛔ תקוע",""))</f>
        <v/>
      </c>
      <c r="K31">
        <f>IFERROR(IF(SMALL(T_Kan,COUNTIF(T_Kan,"&lt;"&amp;1*100000)+26)&lt;2*100000,MATCH(SMALL(T_Kan,COUNTIF(T_Kan,"&lt;"&amp;1*100000)+26),T_Kan,0),""),"")</f>
        <v/>
      </c>
      <c r="L31">
        <f>IFERROR(IF(SMALL(T_Kan,COUNTIF(T_Kan,"&lt;"&amp;2*100000)+26)&lt;3*100000,MATCH(SMALL(T_Kan,COUNTIF(T_Kan,"&lt;"&amp;2*100000)+26),T_Kan,0),""),"")</f>
        <v/>
      </c>
      <c r="M31">
        <f>IFERROR(IF(SMALL(T_Kan,COUNTIF(T_Kan,"&lt;"&amp;3*100000)+26)&lt;4*100000,MATCH(SMALL(T_Kan,COUNTIF(T_Kan,"&lt;"&amp;3*100000)+26),T_Kan,0),""),"")</f>
        <v/>
      </c>
      <c r="N31">
        <f>IFERROR(IF(SMALL(T_Kan,COUNTIF(T_Kan,"&lt;"&amp;4*100000)+26)&lt;5*100000,MATCH(SMALL(T_Kan,COUNTIF(T_Kan,"&lt;"&amp;4*100000)+26),T_Kan,0),""),"")</f>
        <v/>
      </c>
      <c r="O31">
        <f>IFERROR(IF(SMALL(T_Kan,COUNTIF(T_Kan,"&lt;"&amp;5*100000)+26)&lt;6*100000,MATCH(SMALL(T_Kan,COUNTIF(T_Kan,"&lt;"&amp;5*100000)+26),T_Kan,0),""),"")</f>
        <v/>
      </c>
      <c r="P31">
        <f>IFERROR(IF(SMALL(T_Kan,COUNTIF(T_Kan,"&lt;"&amp;6*100000)+26)&lt;7*100000,MATCH(SMALL(T_Kan,COUNTIF(T_Kan,"&lt;"&amp;6*100000)+26),T_Kan,0),""),"")</f>
        <v/>
      </c>
    </row>
    <row r="32" ht="46" customHeight="1">
      <c r="B32" s="153">
        <f>IF($K32="","",INDEX(T_ID,$K32)&amp;"  ·  "&amp;INDEX(T_Task,$K32)&amp;CHAR(10)&amp;"👤 "&amp;INDEX(T_Owner,$K32)&amp;"   🎯 "&amp;IF(ISNUMBER(INDEX(T_Due,$K32)),TEXT(INDEX(T_Due,$K32),"dd/mm/yy"),"—")&amp;IF(INDEX(T_Prio,$K32)="גבוהה","   🔥","")&amp;IF(INDEX(T_Eff,$K32)="תקוע","   ⛔ תקוע",""))</f>
        <v/>
      </c>
      <c r="C32" s="153">
        <f>IF($L32="","",INDEX(T_ID,$L32)&amp;"  ·  "&amp;INDEX(T_Task,$L32)&amp;CHAR(10)&amp;"👤 "&amp;INDEX(T_Owner,$L32)&amp;"   🎯 "&amp;IF(ISNUMBER(INDEX(T_Due,$L32)),TEXT(INDEX(T_Due,$L32),"dd/mm/yy"),"—")&amp;IF(INDEX(T_Prio,$L32)="גבוהה","   🔥","")&amp;IF(INDEX(T_Eff,$L32)="תקוע","   ⛔ תקוע",""))</f>
        <v/>
      </c>
      <c r="D32" s="153">
        <f>IF($M32="","",INDEX(T_ID,$M32)&amp;"  ·  "&amp;INDEX(T_Task,$M32)&amp;CHAR(10)&amp;"👤 "&amp;INDEX(T_Owner,$M32)&amp;"   🎯 "&amp;IF(ISNUMBER(INDEX(T_Due,$M32)),TEXT(INDEX(T_Due,$M32),"dd/mm/yy"),"—")&amp;IF(INDEX(T_Prio,$M32)="גבוהה","   🔥","")&amp;IF(INDEX(T_Eff,$M32)="תקוע","   ⛔ תקוע",""))</f>
        <v/>
      </c>
      <c r="E32" s="153">
        <f>IF($N32="","",INDEX(T_ID,$N32)&amp;"  ·  "&amp;INDEX(T_Task,$N32)&amp;CHAR(10)&amp;"👤 "&amp;INDEX(T_Owner,$N32)&amp;"   🎯 "&amp;IF(ISNUMBER(INDEX(T_Due,$N32)),TEXT(INDEX(T_Due,$N32),"dd/mm/yy"),"—")&amp;IF(INDEX(T_Prio,$N32)="גבוהה","   🔥","")&amp;IF(INDEX(T_Eff,$N32)="תקוע","   ⛔ תקוע",""))</f>
        <v/>
      </c>
      <c r="F32" s="153">
        <f>IF($O32="","",INDEX(T_ID,$O32)&amp;"  ·  "&amp;INDEX(T_Task,$O32)&amp;CHAR(10)&amp;"👤 "&amp;INDEX(T_Owner,$O32)&amp;"   🎯 "&amp;IF(ISNUMBER(INDEX(T_Due,$O32)),TEXT(INDEX(T_Due,$O32),"dd/mm/yy"),"—")&amp;IF(INDEX(T_Prio,$O32)="גבוהה","   🔥","")&amp;IF(INDEX(T_Eff,$O32)="תקוע","   ⛔ תקוע",""))</f>
        <v/>
      </c>
      <c r="G32" s="153">
        <f>IF($P32="","",INDEX(T_ID,$P32)&amp;"  ·  "&amp;INDEX(T_Task,$P32)&amp;CHAR(10)&amp;"👤 "&amp;INDEX(T_Owner,$P32)&amp;"   🎯 "&amp;IF(ISNUMBER(INDEX(T_Due,$P32)),TEXT(INDEX(T_Due,$P32),"dd/mm/yy"),"—")&amp;IF(INDEX(T_Prio,$P32)="גבוהה","   🔥","")&amp;IF(INDEX(T_Eff,$P32)="תקוע","   ⛔ תקוע",""))</f>
        <v/>
      </c>
      <c r="K32">
        <f>IFERROR(IF(SMALL(T_Kan,COUNTIF(T_Kan,"&lt;"&amp;1*100000)+27)&lt;2*100000,MATCH(SMALL(T_Kan,COUNTIF(T_Kan,"&lt;"&amp;1*100000)+27),T_Kan,0),""),"")</f>
        <v/>
      </c>
      <c r="L32">
        <f>IFERROR(IF(SMALL(T_Kan,COUNTIF(T_Kan,"&lt;"&amp;2*100000)+27)&lt;3*100000,MATCH(SMALL(T_Kan,COUNTIF(T_Kan,"&lt;"&amp;2*100000)+27),T_Kan,0),""),"")</f>
        <v/>
      </c>
      <c r="M32">
        <f>IFERROR(IF(SMALL(T_Kan,COUNTIF(T_Kan,"&lt;"&amp;3*100000)+27)&lt;4*100000,MATCH(SMALL(T_Kan,COUNTIF(T_Kan,"&lt;"&amp;3*100000)+27),T_Kan,0),""),"")</f>
        <v/>
      </c>
      <c r="N32">
        <f>IFERROR(IF(SMALL(T_Kan,COUNTIF(T_Kan,"&lt;"&amp;4*100000)+27)&lt;5*100000,MATCH(SMALL(T_Kan,COUNTIF(T_Kan,"&lt;"&amp;4*100000)+27),T_Kan,0),""),"")</f>
        <v/>
      </c>
      <c r="O32">
        <f>IFERROR(IF(SMALL(T_Kan,COUNTIF(T_Kan,"&lt;"&amp;5*100000)+27)&lt;6*100000,MATCH(SMALL(T_Kan,COUNTIF(T_Kan,"&lt;"&amp;5*100000)+27),T_Kan,0),""),"")</f>
        <v/>
      </c>
      <c r="P32">
        <f>IFERROR(IF(SMALL(T_Kan,COUNTIF(T_Kan,"&lt;"&amp;6*100000)+27)&lt;7*100000,MATCH(SMALL(T_Kan,COUNTIF(T_Kan,"&lt;"&amp;6*100000)+27),T_Kan,0),""),"")</f>
        <v/>
      </c>
    </row>
    <row r="33" ht="46" customHeight="1">
      <c r="B33" s="153">
        <f>IF($K33="","",INDEX(T_ID,$K33)&amp;"  ·  "&amp;INDEX(T_Task,$K33)&amp;CHAR(10)&amp;"👤 "&amp;INDEX(T_Owner,$K33)&amp;"   🎯 "&amp;IF(ISNUMBER(INDEX(T_Due,$K33)),TEXT(INDEX(T_Due,$K33),"dd/mm/yy"),"—")&amp;IF(INDEX(T_Prio,$K33)="גבוהה","   🔥","")&amp;IF(INDEX(T_Eff,$K33)="תקוע","   ⛔ תקוע",""))</f>
        <v/>
      </c>
      <c r="C33" s="153">
        <f>IF($L33="","",INDEX(T_ID,$L33)&amp;"  ·  "&amp;INDEX(T_Task,$L33)&amp;CHAR(10)&amp;"👤 "&amp;INDEX(T_Owner,$L33)&amp;"   🎯 "&amp;IF(ISNUMBER(INDEX(T_Due,$L33)),TEXT(INDEX(T_Due,$L33),"dd/mm/yy"),"—")&amp;IF(INDEX(T_Prio,$L33)="גבוהה","   🔥","")&amp;IF(INDEX(T_Eff,$L33)="תקוע","   ⛔ תקוע",""))</f>
        <v/>
      </c>
      <c r="D33" s="153">
        <f>IF($M33="","",INDEX(T_ID,$M33)&amp;"  ·  "&amp;INDEX(T_Task,$M33)&amp;CHAR(10)&amp;"👤 "&amp;INDEX(T_Owner,$M33)&amp;"   🎯 "&amp;IF(ISNUMBER(INDEX(T_Due,$M33)),TEXT(INDEX(T_Due,$M33),"dd/mm/yy"),"—")&amp;IF(INDEX(T_Prio,$M33)="גבוהה","   🔥","")&amp;IF(INDEX(T_Eff,$M33)="תקוע","   ⛔ תקוע",""))</f>
        <v/>
      </c>
      <c r="E33" s="153">
        <f>IF($N33="","",INDEX(T_ID,$N33)&amp;"  ·  "&amp;INDEX(T_Task,$N33)&amp;CHAR(10)&amp;"👤 "&amp;INDEX(T_Owner,$N33)&amp;"   🎯 "&amp;IF(ISNUMBER(INDEX(T_Due,$N33)),TEXT(INDEX(T_Due,$N33),"dd/mm/yy"),"—")&amp;IF(INDEX(T_Prio,$N33)="גבוהה","   🔥","")&amp;IF(INDEX(T_Eff,$N33)="תקוע","   ⛔ תקוע",""))</f>
        <v/>
      </c>
      <c r="F33" s="153">
        <f>IF($O33="","",INDEX(T_ID,$O33)&amp;"  ·  "&amp;INDEX(T_Task,$O33)&amp;CHAR(10)&amp;"👤 "&amp;INDEX(T_Owner,$O33)&amp;"   🎯 "&amp;IF(ISNUMBER(INDEX(T_Due,$O33)),TEXT(INDEX(T_Due,$O33),"dd/mm/yy"),"—")&amp;IF(INDEX(T_Prio,$O33)="גבוהה","   🔥","")&amp;IF(INDEX(T_Eff,$O33)="תקוע","   ⛔ תקוע",""))</f>
        <v/>
      </c>
      <c r="G33" s="153">
        <f>IF($P33="","",INDEX(T_ID,$P33)&amp;"  ·  "&amp;INDEX(T_Task,$P33)&amp;CHAR(10)&amp;"👤 "&amp;INDEX(T_Owner,$P33)&amp;"   🎯 "&amp;IF(ISNUMBER(INDEX(T_Due,$P33)),TEXT(INDEX(T_Due,$P33),"dd/mm/yy"),"—")&amp;IF(INDEX(T_Prio,$P33)="גבוהה","   🔥","")&amp;IF(INDEX(T_Eff,$P33)="תקוע","   ⛔ תקוע",""))</f>
        <v/>
      </c>
      <c r="K33">
        <f>IFERROR(IF(SMALL(T_Kan,COUNTIF(T_Kan,"&lt;"&amp;1*100000)+28)&lt;2*100000,MATCH(SMALL(T_Kan,COUNTIF(T_Kan,"&lt;"&amp;1*100000)+28),T_Kan,0),""),"")</f>
        <v/>
      </c>
      <c r="L33">
        <f>IFERROR(IF(SMALL(T_Kan,COUNTIF(T_Kan,"&lt;"&amp;2*100000)+28)&lt;3*100000,MATCH(SMALL(T_Kan,COUNTIF(T_Kan,"&lt;"&amp;2*100000)+28),T_Kan,0),""),"")</f>
        <v/>
      </c>
      <c r="M33">
        <f>IFERROR(IF(SMALL(T_Kan,COUNTIF(T_Kan,"&lt;"&amp;3*100000)+28)&lt;4*100000,MATCH(SMALL(T_Kan,COUNTIF(T_Kan,"&lt;"&amp;3*100000)+28),T_Kan,0),""),"")</f>
        <v/>
      </c>
      <c r="N33">
        <f>IFERROR(IF(SMALL(T_Kan,COUNTIF(T_Kan,"&lt;"&amp;4*100000)+28)&lt;5*100000,MATCH(SMALL(T_Kan,COUNTIF(T_Kan,"&lt;"&amp;4*100000)+28),T_Kan,0),""),"")</f>
        <v/>
      </c>
      <c r="O33">
        <f>IFERROR(IF(SMALL(T_Kan,COUNTIF(T_Kan,"&lt;"&amp;5*100000)+28)&lt;6*100000,MATCH(SMALL(T_Kan,COUNTIF(T_Kan,"&lt;"&amp;5*100000)+28),T_Kan,0),""),"")</f>
        <v/>
      </c>
      <c r="P33">
        <f>IFERROR(IF(SMALL(T_Kan,COUNTIF(T_Kan,"&lt;"&amp;6*100000)+28)&lt;7*100000,MATCH(SMALL(T_Kan,COUNTIF(T_Kan,"&lt;"&amp;6*100000)+28),T_Kan,0),""),"")</f>
        <v/>
      </c>
    </row>
    <row r="34" ht="46" customHeight="1">
      <c r="B34" s="153">
        <f>IF($K34="","",INDEX(T_ID,$K34)&amp;"  ·  "&amp;INDEX(T_Task,$K34)&amp;CHAR(10)&amp;"👤 "&amp;INDEX(T_Owner,$K34)&amp;"   🎯 "&amp;IF(ISNUMBER(INDEX(T_Due,$K34)),TEXT(INDEX(T_Due,$K34),"dd/mm/yy"),"—")&amp;IF(INDEX(T_Prio,$K34)="גבוהה","   🔥","")&amp;IF(INDEX(T_Eff,$K34)="תקוע","   ⛔ תקוע",""))</f>
        <v/>
      </c>
      <c r="C34" s="153">
        <f>IF($L34="","",INDEX(T_ID,$L34)&amp;"  ·  "&amp;INDEX(T_Task,$L34)&amp;CHAR(10)&amp;"👤 "&amp;INDEX(T_Owner,$L34)&amp;"   🎯 "&amp;IF(ISNUMBER(INDEX(T_Due,$L34)),TEXT(INDEX(T_Due,$L34),"dd/mm/yy"),"—")&amp;IF(INDEX(T_Prio,$L34)="גבוהה","   🔥","")&amp;IF(INDEX(T_Eff,$L34)="תקוע","   ⛔ תקוע",""))</f>
        <v/>
      </c>
      <c r="D34" s="153">
        <f>IF($M34="","",INDEX(T_ID,$M34)&amp;"  ·  "&amp;INDEX(T_Task,$M34)&amp;CHAR(10)&amp;"👤 "&amp;INDEX(T_Owner,$M34)&amp;"   🎯 "&amp;IF(ISNUMBER(INDEX(T_Due,$M34)),TEXT(INDEX(T_Due,$M34),"dd/mm/yy"),"—")&amp;IF(INDEX(T_Prio,$M34)="גבוהה","   🔥","")&amp;IF(INDEX(T_Eff,$M34)="תקוע","   ⛔ תקוע",""))</f>
        <v/>
      </c>
      <c r="E34" s="153">
        <f>IF($N34="","",INDEX(T_ID,$N34)&amp;"  ·  "&amp;INDEX(T_Task,$N34)&amp;CHAR(10)&amp;"👤 "&amp;INDEX(T_Owner,$N34)&amp;"   🎯 "&amp;IF(ISNUMBER(INDEX(T_Due,$N34)),TEXT(INDEX(T_Due,$N34),"dd/mm/yy"),"—")&amp;IF(INDEX(T_Prio,$N34)="גבוהה","   🔥","")&amp;IF(INDEX(T_Eff,$N34)="תקוע","   ⛔ תקוע",""))</f>
        <v/>
      </c>
      <c r="F34" s="153">
        <f>IF($O34="","",INDEX(T_ID,$O34)&amp;"  ·  "&amp;INDEX(T_Task,$O34)&amp;CHAR(10)&amp;"👤 "&amp;INDEX(T_Owner,$O34)&amp;"   🎯 "&amp;IF(ISNUMBER(INDEX(T_Due,$O34)),TEXT(INDEX(T_Due,$O34),"dd/mm/yy"),"—")&amp;IF(INDEX(T_Prio,$O34)="גבוהה","   🔥","")&amp;IF(INDEX(T_Eff,$O34)="תקוע","   ⛔ תקוע",""))</f>
        <v/>
      </c>
      <c r="G34" s="153">
        <f>IF($P34="","",INDEX(T_ID,$P34)&amp;"  ·  "&amp;INDEX(T_Task,$P34)&amp;CHAR(10)&amp;"👤 "&amp;INDEX(T_Owner,$P34)&amp;"   🎯 "&amp;IF(ISNUMBER(INDEX(T_Due,$P34)),TEXT(INDEX(T_Due,$P34),"dd/mm/yy"),"—")&amp;IF(INDEX(T_Prio,$P34)="גבוהה","   🔥","")&amp;IF(INDEX(T_Eff,$P34)="תקוע","   ⛔ תקוע",""))</f>
        <v/>
      </c>
      <c r="K34">
        <f>IFERROR(IF(SMALL(T_Kan,COUNTIF(T_Kan,"&lt;"&amp;1*100000)+29)&lt;2*100000,MATCH(SMALL(T_Kan,COUNTIF(T_Kan,"&lt;"&amp;1*100000)+29),T_Kan,0),""),"")</f>
        <v/>
      </c>
      <c r="L34">
        <f>IFERROR(IF(SMALL(T_Kan,COUNTIF(T_Kan,"&lt;"&amp;2*100000)+29)&lt;3*100000,MATCH(SMALL(T_Kan,COUNTIF(T_Kan,"&lt;"&amp;2*100000)+29),T_Kan,0),""),"")</f>
        <v/>
      </c>
      <c r="M34">
        <f>IFERROR(IF(SMALL(T_Kan,COUNTIF(T_Kan,"&lt;"&amp;3*100000)+29)&lt;4*100000,MATCH(SMALL(T_Kan,COUNTIF(T_Kan,"&lt;"&amp;3*100000)+29),T_Kan,0),""),"")</f>
        <v/>
      </c>
      <c r="N34">
        <f>IFERROR(IF(SMALL(T_Kan,COUNTIF(T_Kan,"&lt;"&amp;4*100000)+29)&lt;5*100000,MATCH(SMALL(T_Kan,COUNTIF(T_Kan,"&lt;"&amp;4*100000)+29),T_Kan,0),""),"")</f>
        <v/>
      </c>
      <c r="O34">
        <f>IFERROR(IF(SMALL(T_Kan,COUNTIF(T_Kan,"&lt;"&amp;5*100000)+29)&lt;6*100000,MATCH(SMALL(T_Kan,COUNTIF(T_Kan,"&lt;"&amp;5*100000)+29),T_Kan,0),""),"")</f>
        <v/>
      </c>
      <c r="P34">
        <f>IFERROR(IF(SMALL(T_Kan,COUNTIF(T_Kan,"&lt;"&amp;6*100000)+29)&lt;7*100000,MATCH(SMALL(T_Kan,COUNTIF(T_Kan,"&lt;"&amp;6*100000)+29),T_Kan,0),""),"")</f>
        <v/>
      </c>
    </row>
    <row r="35" ht="46" customHeight="1">
      <c r="B35" s="153">
        <f>IF($K35="","",INDEX(T_ID,$K35)&amp;"  ·  "&amp;INDEX(T_Task,$K35)&amp;CHAR(10)&amp;"👤 "&amp;INDEX(T_Owner,$K35)&amp;"   🎯 "&amp;IF(ISNUMBER(INDEX(T_Due,$K35)),TEXT(INDEX(T_Due,$K35),"dd/mm/yy"),"—")&amp;IF(INDEX(T_Prio,$K35)="גבוהה","   🔥","")&amp;IF(INDEX(T_Eff,$K35)="תקוע","   ⛔ תקוע",""))</f>
        <v/>
      </c>
      <c r="C35" s="153">
        <f>IF($L35="","",INDEX(T_ID,$L35)&amp;"  ·  "&amp;INDEX(T_Task,$L35)&amp;CHAR(10)&amp;"👤 "&amp;INDEX(T_Owner,$L35)&amp;"   🎯 "&amp;IF(ISNUMBER(INDEX(T_Due,$L35)),TEXT(INDEX(T_Due,$L35),"dd/mm/yy"),"—")&amp;IF(INDEX(T_Prio,$L35)="גבוהה","   🔥","")&amp;IF(INDEX(T_Eff,$L35)="תקוע","   ⛔ תקוע",""))</f>
        <v/>
      </c>
      <c r="D35" s="153">
        <f>IF($M35="","",INDEX(T_ID,$M35)&amp;"  ·  "&amp;INDEX(T_Task,$M35)&amp;CHAR(10)&amp;"👤 "&amp;INDEX(T_Owner,$M35)&amp;"   🎯 "&amp;IF(ISNUMBER(INDEX(T_Due,$M35)),TEXT(INDEX(T_Due,$M35),"dd/mm/yy"),"—")&amp;IF(INDEX(T_Prio,$M35)="גבוהה","   🔥","")&amp;IF(INDEX(T_Eff,$M35)="תקוע","   ⛔ תקוע",""))</f>
        <v/>
      </c>
      <c r="E35" s="153">
        <f>IF($N35="","",INDEX(T_ID,$N35)&amp;"  ·  "&amp;INDEX(T_Task,$N35)&amp;CHAR(10)&amp;"👤 "&amp;INDEX(T_Owner,$N35)&amp;"   🎯 "&amp;IF(ISNUMBER(INDEX(T_Due,$N35)),TEXT(INDEX(T_Due,$N35),"dd/mm/yy"),"—")&amp;IF(INDEX(T_Prio,$N35)="גבוהה","   🔥","")&amp;IF(INDEX(T_Eff,$N35)="תקוע","   ⛔ תקוע",""))</f>
        <v/>
      </c>
      <c r="F35" s="153">
        <f>IF($O35="","",INDEX(T_ID,$O35)&amp;"  ·  "&amp;INDEX(T_Task,$O35)&amp;CHAR(10)&amp;"👤 "&amp;INDEX(T_Owner,$O35)&amp;"   🎯 "&amp;IF(ISNUMBER(INDEX(T_Due,$O35)),TEXT(INDEX(T_Due,$O35),"dd/mm/yy"),"—")&amp;IF(INDEX(T_Prio,$O35)="גבוהה","   🔥","")&amp;IF(INDEX(T_Eff,$O35)="תקוע","   ⛔ תקוע",""))</f>
        <v/>
      </c>
      <c r="G35" s="153">
        <f>IF($P35="","",INDEX(T_ID,$P35)&amp;"  ·  "&amp;INDEX(T_Task,$P35)&amp;CHAR(10)&amp;"👤 "&amp;INDEX(T_Owner,$P35)&amp;"   🎯 "&amp;IF(ISNUMBER(INDEX(T_Due,$P35)),TEXT(INDEX(T_Due,$P35),"dd/mm/yy"),"—")&amp;IF(INDEX(T_Prio,$P35)="גבוהה","   🔥","")&amp;IF(INDEX(T_Eff,$P35)="תקוע","   ⛔ תקוע",""))</f>
        <v/>
      </c>
      <c r="K35">
        <f>IFERROR(IF(SMALL(T_Kan,COUNTIF(T_Kan,"&lt;"&amp;1*100000)+30)&lt;2*100000,MATCH(SMALL(T_Kan,COUNTIF(T_Kan,"&lt;"&amp;1*100000)+30),T_Kan,0),""),"")</f>
        <v/>
      </c>
      <c r="L35">
        <f>IFERROR(IF(SMALL(T_Kan,COUNTIF(T_Kan,"&lt;"&amp;2*100000)+30)&lt;3*100000,MATCH(SMALL(T_Kan,COUNTIF(T_Kan,"&lt;"&amp;2*100000)+30),T_Kan,0),""),"")</f>
        <v/>
      </c>
      <c r="M35">
        <f>IFERROR(IF(SMALL(T_Kan,COUNTIF(T_Kan,"&lt;"&amp;3*100000)+30)&lt;4*100000,MATCH(SMALL(T_Kan,COUNTIF(T_Kan,"&lt;"&amp;3*100000)+30),T_Kan,0),""),"")</f>
        <v/>
      </c>
      <c r="N35">
        <f>IFERROR(IF(SMALL(T_Kan,COUNTIF(T_Kan,"&lt;"&amp;4*100000)+30)&lt;5*100000,MATCH(SMALL(T_Kan,COUNTIF(T_Kan,"&lt;"&amp;4*100000)+30),T_Kan,0),""),"")</f>
        <v/>
      </c>
      <c r="O35">
        <f>IFERROR(IF(SMALL(T_Kan,COUNTIF(T_Kan,"&lt;"&amp;5*100000)+30)&lt;6*100000,MATCH(SMALL(T_Kan,COUNTIF(T_Kan,"&lt;"&amp;5*100000)+30),T_Kan,0),""),"")</f>
        <v/>
      </c>
      <c r="P35">
        <f>IFERROR(IF(SMALL(T_Kan,COUNTIF(T_Kan,"&lt;"&amp;6*100000)+30)&lt;7*100000,MATCH(SMALL(T_Kan,COUNTIF(T_Kan,"&lt;"&amp;6*100000)+30),T_Kan,0),""),"")</f>
        <v/>
      </c>
    </row>
    <row r="36" ht="46" customHeight="1">
      <c r="B36" s="153">
        <f>IF($K36="","",INDEX(T_ID,$K36)&amp;"  ·  "&amp;INDEX(T_Task,$K36)&amp;CHAR(10)&amp;"👤 "&amp;INDEX(T_Owner,$K36)&amp;"   🎯 "&amp;IF(ISNUMBER(INDEX(T_Due,$K36)),TEXT(INDEX(T_Due,$K36),"dd/mm/yy"),"—")&amp;IF(INDEX(T_Prio,$K36)="גבוהה","   🔥","")&amp;IF(INDEX(T_Eff,$K36)="תקוע","   ⛔ תקוע",""))</f>
        <v/>
      </c>
      <c r="C36" s="153">
        <f>IF($L36="","",INDEX(T_ID,$L36)&amp;"  ·  "&amp;INDEX(T_Task,$L36)&amp;CHAR(10)&amp;"👤 "&amp;INDEX(T_Owner,$L36)&amp;"   🎯 "&amp;IF(ISNUMBER(INDEX(T_Due,$L36)),TEXT(INDEX(T_Due,$L36),"dd/mm/yy"),"—")&amp;IF(INDEX(T_Prio,$L36)="גבוהה","   🔥","")&amp;IF(INDEX(T_Eff,$L36)="תקוע","   ⛔ תקוע",""))</f>
        <v/>
      </c>
      <c r="D36" s="153">
        <f>IF($M36="","",INDEX(T_ID,$M36)&amp;"  ·  "&amp;INDEX(T_Task,$M36)&amp;CHAR(10)&amp;"👤 "&amp;INDEX(T_Owner,$M36)&amp;"   🎯 "&amp;IF(ISNUMBER(INDEX(T_Due,$M36)),TEXT(INDEX(T_Due,$M36),"dd/mm/yy"),"—")&amp;IF(INDEX(T_Prio,$M36)="גבוהה","   🔥","")&amp;IF(INDEX(T_Eff,$M36)="תקוע","   ⛔ תקוע",""))</f>
        <v/>
      </c>
      <c r="E36" s="153">
        <f>IF($N36="","",INDEX(T_ID,$N36)&amp;"  ·  "&amp;INDEX(T_Task,$N36)&amp;CHAR(10)&amp;"👤 "&amp;INDEX(T_Owner,$N36)&amp;"   🎯 "&amp;IF(ISNUMBER(INDEX(T_Due,$N36)),TEXT(INDEX(T_Due,$N36),"dd/mm/yy"),"—")&amp;IF(INDEX(T_Prio,$N36)="גבוהה","   🔥","")&amp;IF(INDEX(T_Eff,$N36)="תקוע","   ⛔ תקוע",""))</f>
        <v/>
      </c>
      <c r="F36" s="153">
        <f>IF($O36="","",INDEX(T_ID,$O36)&amp;"  ·  "&amp;INDEX(T_Task,$O36)&amp;CHAR(10)&amp;"👤 "&amp;INDEX(T_Owner,$O36)&amp;"   🎯 "&amp;IF(ISNUMBER(INDEX(T_Due,$O36)),TEXT(INDEX(T_Due,$O36),"dd/mm/yy"),"—")&amp;IF(INDEX(T_Prio,$O36)="גבוהה","   🔥","")&amp;IF(INDEX(T_Eff,$O36)="תקוע","   ⛔ תקוע",""))</f>
        <v/>
      </c>
      <c r="G36" s="153">
        <f>IF($P36="","",INDEX(T_ID,$P36)&amp;"  ·  "&amp;INDEX(T_Task,$P36)&amp;CHAR(10)&amp;"👤 "&amp;INDEX(T_Owner,$P36)&amp;"   🎯 "&amp;IF(ISNUMBER(INDEX(T_Due,$P36)),TEXT(INDEX(T_Due,$P36),"dd/mm/yy"),"—")&amp;IF(INDEX(T_Prio,$P36)="גבוהה","   🔥","")&amp;IF(INDEX(T_Eff,$P36)="תקוע","   ⛔ תקוע",""))</f>
        <v/>
      </c>
      <c r="K36">
        <f>IFERROR(IF(SMALL(T_Kan,COUNTIF(T_Kan,"&lt;"&amp;1*100000)+31)&lt;2*100000,MATCH(SMALL(T_Kan,COUNTIF(T_Kan,"&lt;"&amp;1*100000)+31),T_Kan,0),""),"")</f>
        <v/>
      </c>
      <c r="L36">
        <f>IFERROR(IF(SMALL(T_Kan,COUNTIF(T_Kan,"&lt;"&amp;2*100000)+31)&lt;3*100000,MATCH(SMALL(T_Kan,COUNTIF(T_Kan,"&lt;"&amp;2*100000)+31),T_Kan,0),""),"")</f>
        <v/>
      </c>
      <c r="M36">
        <f>IFERROR(IF(SMALL(T_Kan,COUNTIF(T_Kan,"&lt;"&amp;3*100000)+31)&lt;4*100000,MATCH(SMALL(T_Kan,COUNTIF(T_Kan,"&lt;"&amp;3*100000)+31),T_Kan,0),""),"")</f>
        <v/>
      </c>
      <c r="N36">
        <f>IFERROR(IF(SMALL(T_Kan,COUNTIF(T_Kan,"&lt;"&amp;4*100000)+31)&lt;5*100000,MATCH(SMALL(T_Kan,COUNTIF(T_Kan,"&lt;"&amp;4*100000)+31),T_Kan,0),""),"")</f>
        <v/>
      </c>
      <c r="O36">
        <f>IFERROR(IF(SMALL(T_Kan,COUNTIF(T_Kan,"&lt;"&amp;5*100000)+31)&lt;6*100000,MATCH(SMALL(T_Kan,COUNTIF(T_Kan,"&lt;"&amp;5*100000)+31),T_Kan,0),""),"")</f>
        <v/>
      </c>
      <c r="P36">
        <f>IFERROR(IF(SMALL(T_Kan,COUNTIF(T_Kan,"&lt;"&amp;6*100000)+31)&lt;7*100000,MATCH(SMALL(T_Kan,COUNTIF(T_Kan,"&lt;"&amp;6*100000)+31),T_Kan,0),""),"")</f>
        <v/>
      </c>
    </row>
    <row r="37" ht="46" customHeight="1">
      <c r="B37" s="153">
        <f>IF($K37="","",INDEX(T_ID,$K37)&amp;"  ·  "&amp;INDEX(T_Task,$K37)&amp;CHAR(10)&amp;"👤 "&amp;INDEX(T_Owner,$K37)&amp;"   🎯 "&amp;IF(ISNUMBER(INDEX(T_Due,$K37)),TEXT(INDEX(T_Due,$K37),"dd/mm/yy"),"—")&amp;IF(INDEX(T_Prio,$K37)="גבוהה","   🔥","")&amp;IF(INDEX(T_Eff,$K37)="תקוע","   ⛔ תקוע",""))</f>
        <v/>
      </c>
      <c r="C37" s="153">
        <f>IF($L37="","",INDEX(T_ID,$L37)&amp;"  ·  "&amp;INDEX(T_Task,$L37)&amp;CHAR(10)&amp;"👤 "&amp;INDEX(T_Owner,$L37)&amp;"   🎯 "&amp;IF(ISNUMBER(INDEX(T_Due,$L37)),TEXT(INDEX(T_Due,$L37),"dd/mm/yy"),"—")&amp;IF(INDEX(T_Prio,$L37)="גבוהה","   🔥","")&amp;IF(INDEX(T_Eff,$L37)="תקוע","   ⛔ תקוע",""))</f>
        <v/>
      </c>
      <c r="D37" s="153">
        <f>IF($M37="","",INDEX(T_ID,$M37)&amp;"  ·  "&amp;INDEX(T_Task,$M37)&amp;CHAR(10)&amp;"👤 "&amp;INDEX(T_Owner,$M37)&amp;"   🎯 "&amp;IF(ISNUMBER(INDEX(T_Due,$M37)),TEXT(INDEX(T_Due,$M37),"dd/mm/yy"),"—")&amp;IF(INDEX(T_Prio,$M37)="גבוהה","   🔥","")&amp;IF(INDEX(T_Eff,$M37)="תקוע","   ⛔ תקוע",""))</f>
        <v/>
      </c>
      <c r="E37" s="153">
        <f>IF($N37="","",INDEX(T_ID,$N37)&amp;"  ·  "&amp;INDEX(T_Task,$N37)&amp;CHAR(10)&amp;"👤 "&amp;INDEX(T_Owner,$N37)&amp;"   🎯 "&amp;IF(ISNUMBER(INDEX(T_Due,$N37)),TEXT(INDEX(T_Due,$N37),"dd/mm/yy"),"—")&amp;IF(INDEX(T_Prio,$N37)="גבוהה","   🔥","")&amp;IF(INDEX(T_Eff,$N37)="תקוע","   ⛔ תקוע",""))</f>
        <v/>
      </c>
      <c r="F37" s="153">
        <f>IF($O37="","",INDEX(T_ID,$O37)&amp;"  ·  "&amp;INDEX(T_Task,$O37)&amp;CHAR(10)&amp;"👤 "&amp;INDEX(T_Owner,$O37)&amp;"   🎯 "&amp;IF(ISNUMBER(INDEX(T_Due,$O37)),TEXT(INDEX(T_Due,$O37),"dd/mm/yy"),"—")&amp;IF(INDEX(T_Prio,$O37)="גבוהה","   🔥","")&amp;IF(INDEX(T_Eff,$O37)="תקוע","   ⛔ תקוע",""))</f>
        <v/>
      </c>
      <c r="G37" s="153">
        <f>IF($P37="","",INDEX(T_ID,$P37)&amp;"  ·  "&amp;INDEX(T_Task,$P37)&amp;CHAR(10)&amp;"👤 "&amp;INDEX(T_Owner,$P37)&amp;"   🎯 "&amp;IF(ISNUMBER(INDEX(T_Due,$P37)),TEXT(INDEX(T_Due,$P37),"dd/mm/yy"),"—")&amp;IF(INDEX(T_Prio,$P37)="גבוהה","   🔥","")&amp;IF(INDEX(T_Eff,$P37)="תקוע","   ⛔ תקוע",""))</f>
        <v/>
      </c>
      <c r="K37">
        <f>IFERROR(IF(SMALL(T_Kan,COUNTIF(T_Kan,"&lt;"&amp;1*100000)+32)&lt;2*100000,MATCH(SMALL(T_Kan,COUNTIF(T_Kan,"&lt;"&amp;1*100000)+32),T_Kan,0),""),"")</f>
        <v/>
      </c>
      <c r="L37">
        <f>IFERROR(IF(SMALL(T_Kan,COUNTIF(T_Kan,"&lt;"&amp;2*100000)+32)&lt;3*100000,MATCH(SMALL(T_Kan,COUNTIF(T_Kan,"&lt;"&amp;2*100000)+32),T_Kan,0),""),"")</f>
        <v/>
      </c>
      <c r="M37">
        <f>IFERROR(IF(SMALL(T_Kan,COUNTIF(T_Kan,"&lt;"&amp;3*100000)+32)&lt;4*100000,MATCH(SMALL(T_Kan,COUNTIF(T_Kan,"&lt;"&amp;3*100000)+32),T_Kan,0),""),"")</f>
        <v/>
      </c>
      <c r="N37">
        <f>IFERROR(IF(SMALL(T_Kan,COUNTIF(T_Kan,"&lt;"&amp;4*100000)+32)&lt;5*100000,MATCH(SMALL(T_Kan,COUNTIF(T_Kan,"&lt;"&amp;4*100000)+32),T_Kan,0),""),"")</f>
        <v/>
      </c>
      <c r="O37">
        <f>IFERROR(IF(SMALL(T_Kan,COUNTIF(T_Kan,"&lt;"&amp;5*100000)+32)&lt;6*100000,MATCH(SMALL(T_Kan,COUNTIF(T_Kan,"&lt;"&amp;5*100000)+32),T_Kan,0),""),"")</f>
        <v/>
      </c>
      <c r="P37">
        <f>IFERROR(IF(SMALL(T_Kan,COUNTIF(T_Kan,"&lt;"&amp;6*100000)+32)&lt;7*100000,MATCH(SMALL(T_Kan,COUNTIF(T_Kan,"&lt;"&amp;6*100000)+32),T_Kan,0),""),"")</f>
        <v/>
      </c>
    </row>
    <row r="38" ht="46" customHeight="1">
      <c r="B38" s="153">
        <f>IF($K38="","",INDEX(T_ID,$K38)&amp;"  ·  "&amp;INDEX(T_Task,$K38)&amp;CHAR(10)&amp;"👤 "&amp;INDEX(T_Owner,$K38)&amp;"   🎯 "&amp;IF(ISNUMBER(INDEX(T_Due,$K38)),TEXT(INDEX(T_Due,$K38),"dd/mm/yy"),"—")&amp;IF(INDEX(T_Prio,$K38)="גבוהה","   🔥","")&amp;IF(INDEX(T_Eff,$K38)="תקוע","   ⛔ תקוע",""))</f>
        <v/>
      </c>
      <c r="C38" s="153">
        <f>IF($L38="","",INDEX(T_ID,$L38)&amp;"  ·  "&amp;INDEX(T_Task,$L38)&amp;CHAR(10)&amp;"👤 "&amp;INDEX(T_Owner,$L38)&amp;"   🎯 "&amp;IF(ISNUMBER(INDEX(T_Due,$L38)),TEXT(INDEX(T_Due,$L38),"dd/mm/yy"),"—")&amp;IF(INDEX(T_Prio,$L38)="גבוהה","   🔥","")&amp;IF(INDEX(T_Eff,$L38)="תקוע","   ⛔ תקוע",""))</f>
        <v/>
      </c>
      <c r="D38" s="153">
        <f>IF($M38="","",INDEX(T_ID,$M38)&amp;"  ·  "&amp;INDEX(T_Task,$M38)&amp;CHAR(10)&amp;"👤 "&amp;INDEX(T_Owner,$M38)&amp;"   🎯 "&amp;IF(ISNUMBER(INDEX(T_Due,$M38)),TEXT(INDEX(T_Due,$M38),"dd/mm/yy"),"—")&amp;IF(INDEX(T_Prio,$M38)="גבוהה","   🔥","")&amp;IF(INDEX(T_Eff,$M38)="תקוע","   ⛔ תקוע",""))</f>
        <v/>
      </c>
      <c r="E38" s="153">
        <f>IF($N38="","",INDEX(T_ID,$N38)&amp;"  ·  "&amp;INDEX(T_Task,$N38)&amp;CHAR(10)&amp;"👤 "&amp;INDEX(T_Owner,$N38)&amp;"   🎯 "&amp;IF(ISNUMBER(INDEX(T_Due,$N38)),TEXT(INDEX(T_Due,$N38),"dd/mm/yy"),"—")&amp;IF(INDEX(T_Prio,$N38)="גבוהה","   🔥","")&amp;IF(INDEX(T_Eff,$N38)="תקוע","   ⛔ תקוע",""))</f>
        <v/>
      </c>
      <c r="F38" s="153">
        <f>IF($O38="","",INDEX(T_ID,$O38)&amp;"  ·  "&amp;INDEX(T_Task,$O38)&amp;CHAR(10)&amp;"👤 "&amp;INDEX(T_Owner,$O38)&amp;"   🎯 "&amp;IF(ISNUMBER(INDEX(T_Due,$O38)),TEXT(INDEX(T_Due,$O38),"dd/mm/yy"),"—")&amp;IF(INDEX(T_Prio,$O38)="גבוהה","   🔥","")&amp;IF(INDEX(T_Eff,$O38)="תקוע","   ⛔ תקוע",""))</f>
        <v/>
      </c>
      <c r="G38" s="153">
        <f>IF($P38="","",INDEX(T_ID,$P38)&amp;"  ·  "&amp;INDEX(T_Task,$P38)&amp;CHAR(10)&amp;"👤 "&amp;INDEX(T_Owner,$P38)&amp;"   🎯 "&amp;IF(ISNUMBER(INDEX(T_Due,$P38)),TEXT(INDEX(T_Due,$P38),"dd/mm/yy"),"—")&amp;IF(INDEX(T_Prio,$P38)="גבוהה","   🔥","")&amp;IF(INDEX(T_Eff,$P38)="תקוע","   ⛔ תקוע",""))</f>
        <v/>
      </c>
      <c r="K38">
        <f>IFERROR(IF(SMALL(T_Kan,COUNTIF(T_Kan,"&lt;"&amp;1*100000)+33)&lt;2*100000,MATCH(SMALL(T_Kan,COUNTIF(T_Kan,"&lt;"&amp;1*100000)+33),T_Kan,0),""),"")</f>
        <v/>
      </c>
      <c r="L38">
        <f>IFERROR(IF(SMALL(T_Kan,COUNTIF(T_Kan,"&lt;"&amp;2*100000)+33)&lt;3*100000,MATCH(SMALL(T_Kan,COUNTIF(T_Kan,"&lt;"&amp;2*100000)+33),T_Kan,0),""),"")</f>
        <v/>
      </c>
      <c r="M38">
        <f>IFERROR(IF(SMALL(T_Kan,COUNTIF(T_Kan,"&lt;"&amp;3*100000)+33)&lt;4*100000,MATCH(SMALL(T_Kan,COUNTIF(T_Kan,"&lt;"&amp;3*100000)+33),T_Kan,0),""),"")</f>
        <v/>
      </c>
      <c r="N38">
        <f>IFERROR(IF(SMALL(T_Kan,COUNTIF(T_Kan,"&lt;"&amp;4*100000)+33)&lt;5*100000,MATCH(SMALL(T_Kan,COUNTIF(T_Kan,"&lt;"&amp;4*100000)+33),T_Kan,0),""),"")</f>
        <v/>
      </c>
      <c r="O38">
        <f>IFERROR(IF(SMALL(T_Kan,COUNTIF(T_Kan,"&lt;"&amp;5*100000)+33)&lt;6*100000,MATCH(SMALL(T_Kan,COUNTIF(T_Kan,"&lt;"&amp;5*100000)+33),T_Kan,0),""),"")</f>
        <v/>
      </c>
      <c r="P38">
        <f>IFERROR(IF(SMALL(T_Kan,COUNTIF(T_Kan,"&lt;"&amp;6*100000)+33)&lt;7*100000,MATCH(SMALL(T_Kan,COUNTIF(T_Kan,"&lt;"&amp;6*100000)+33),T_Kan,0),""),"")</f>
        <v/>
      </c>
    </row>
    <row r="39" ht="46" customHeight="1">
      <c r="B39" s="153">
        <f>IF($K39="","",INDEX(T_ID,$K39)&amp;"  ·  "&amp;INDEX(T_Task,$K39)&amp;CHAR(10)&amp;"👤 "&amp;INDEX(T_Owner,$K39)&amp;"   🎯 "&amp;IF(ISNUMBER(INDEX(T_Due,$K39)),TEXT(INDEX(T_Due,$K39),"dd/mm/yy"),"—")&amp;IF(INDEX(T_Prio,$K39)="גבוהה","   🔥","")&amp;IF(INDEX(T_Eff,$K39)="תקוע","   ⛔ תקוע",""))</f>
        <v/>
      </c>
      <c r="C39" s="153">
        <f>IF($L39="","",INDEX(T_ID,$L39)&amp;"  ·  "&amp;INDEX(T_Task,$L39)&amp;CHAR(10)&amp;"👤 "&amp;INDEX(T_Owner,$L39)&amp;"   🎯 "&amp;IF(ISNUMBER(INDEX(T_Due,$L39)),TEXT(INDEX(T_Due,$L39),"dd/mm/yy"),"—")&amp;IF(INDEX(T_Prio,$L39)="גבוהה","   🔥","")&amp;IF(INDEX(T_Eff,$L39)="תקוע","   ⛔ תקוע",""))</f>
        <v/>
      </c>
      <c r="D39" s="153">
        <f>IF($M39="","",INDEX(T_ID,$M39)&amp;"  ·  "&amp;INDEX(T_Task,$M39)&amp;CHAR(10)&amp;"👤 "&amp;INDEX(T_Owner,$M39)&amp;"   🎯 "&amp;IF(ISNUMBER(INDEX(T_Due,$M39)),TEXT(INDEX(T_Due,$M39),"dd/mm/yy"),"—")&amp;IF(INDEX(T_Prio,$M39)="גבוהה","   🔥","")&amp;IF(INDEX(T_Eff,$M39)="תקוע","   ⛔ תקוע",""))</f>
        <v/>
      </c>
      <c r="E39" s="153">
        <f>IF($N39="","",INDEX(T_ID,$N39)&amp;"  ·  "&amp;INDEX(T_Task,$N39)&amp;CHAR(10)&amp;"👤 "&amp;INDEX(T_Owner,$N39)&amp;"   🎯 "&amp;IF(ISNUMBER(INDEX(T_Due,$N39)),TEXT(INDEX(T_Due,$N39),"dd/mm/yy"),"—")&amp;IF(INDEX(T_Prio,$N39)="גבוהה","   🔥","")&amp;IF(INDEX(T_Eff,$N39)="תקוע","   ⛔ תקוע",""))</f>
        <v/>
      </c>
      <c r="F39" s="153">
        <f>IF($O39="","",INDEX(T_ID,$O39)&amp;"  ·  "&amp;INDEX(T_Task,$O39)&amp;CHAR(10)&amp;"👤 "&amp;INDEX(T_Owner,$O39)&amp;"   🎯 "&amp;IF(ISNUMBER(INDEX(T_Due,$O39)),TEXT(INDEX(T_Due,$O39),"dd/mm/yy"),"—")&amp;IF(INDEX(T_Prio,$O39)="גבוהה","   🔥","")&amp;IF(INDEX(T_Eff,$O39)="תקוע","   ⛔ תקוע",""))</f>
        <v/>
      </c>
      <c r="G39" s="153">
        <f>IF($P39="","",INDEX(T_ID,$P39)&amp;"  ·  "&amp;INDEX(T_Task,$P39)&amp;CHAR(10)&amp;"👤 "&amp;INDEX(T_Owner,$P39)&amp;"   🎯 "&amp;IF(ISNUMBER(INDEX(T_Due,$P39)),TEXT(INDEX(T_Due,$P39),"dd/mm/yy"),"—")&amp;IF(INDEX(T_Prio,$P39)="גבוהה","   🔥","")&amp;IF(INDEX(T_Eff,$P39)="תקוע","   ⛔ תקוע",""))</f>
        <v/>
      </c>
      <c r="K39">
        <f>IFERROR(IF(SMALL(T_Kan,COUNTIF(T_Kan,"&lt;"&amp;1*100000)+34)&lt;2*100000,MATCH(SMALL(T_Kan,COUNTIF(T_Kan,"&lt;"&amp;1*100000)+34),T_Kan,0),""),"")</f>
        <v/>
      </c>
      <c r="L39">
        <f>IFERROR(IF(SMALL(T_Kan,COUNTIF(T_Kan,"&lt;"&amp;2*100000)+34)&lt;3*100000,MATCH(SMALL(T_Kan,COUNTIF(T_Kan,"&lt;"&amp;2*100000)+34),T_Kan,0),""),"")</f>
        <v/>
      </c>
      <c r="M39">
        <f>IFERROR(IF(SMALL(T_Kan,COUNTIF(T_Kan,"&lt;"&amp;3*100000)+34)&lt;4*100000,MATCH(SMALL(T_Kan,COUNTIF(T_Kan,"&lt;"&amp;3*100000)+34),T_Kan,0),""),"")</f>
        <v/>
      </c>
      <c r="N39">
        <f>IFERROR(IF(SMALL(T_Kan,COUNTIF(T_Kan,"&lt;"&amp;4*100000)+34)&lt;5*100000,MATCH(SMALL(T_Kan,COUNTIF(T_Kan,"&lt;"&amp;4*100000)+34),T_Kan,0),""),"")</f>
        <v/>
      </c>
      <c r="O39">
        <f>IFERROR(IF(SMALL(T_Kan,COUNTIF(T_Kan,"&lt;"&amp;5*100000)+34)&lt;6*100000,MATCH(SMALL(T_Kan,COUNTIF(T_Kan,"&lt;"&amp;5*100000)+34),T_Kan,0),""),"")</f>
        <v/>
      </c>
      <c r="P39">
        <f>IFERROR(IF(SMALL(T_Kan,COUNTIF(T_Kan,"&lt;"&amp;6*100000)+34)&lt;7*100000,MATCH(SMALL(T_Kan,COUNTIF(T_Kan,"&lt;"&amp;6*100000)+34),T_Kan,0),""),"")</f>
        <v/>
      </c>
    </row>
    <row r="40" ht="46" customHeight="1">
      <c r="B40" s="153">
        <f>IF($K40="","",INDEX(T_ID,$K40)&amp;"  ·  "&amp;INDEX(T_Task,$K40)&amp;CHAR(10)&amp;"👤 "&amp;INDEX(T_Owner,$K40)&amp;"   🎯 "&amp;IF(ISNUMBER(INDEX(T_Due,$K40)),TEXT(INDEX(T_Due,$K40),"dd/mm/yy"),"—")&amp;IF(INDEX(T_Prio,$K40)="גבוהה","   🔥","")&amp;IF(INDEX(T_Eff,$K40)="תקוע","   ⛔ תקוע",""))</f>
        <v/>
      </c>
      <c r="C40" s="153">
        <f>IF($L40="","",INDEX(T_ID,$L40)&amp;"  ·  "&amp;INDEX(T_Task,$L40)&amp;CHAR(10)&amp;"👤 "&amp;INDEX(T_Owner,$L40)&amp;"   🎯 "&amp;IF(ISNUMBER(INDEX(T_Due,$L40)),TEXT(INDEX(T_Due,$L40),"dd/mm/yy"),"—")&amp;IF(INDEX(T_Prio,$L40)="גבוהה","   🔥","")&amp;IF(INDEX(T_Eff,$L40)="תקוע","   ⛔ תקוע",""))</f>
        <v/>
      </c>
      <c r="D40" s="153">
        <f>IF($M40="","",INDEX(T_ID,$M40)&amp;"  ·  "&amp;INDEX(T_Task,$M40)&amp;CHAR(10)&amp;"👤 "&amp;INDEX(T_Owner,$M40)&amp;"   🎯 "&amp;IF(ISNUMBER(INDEX(T_Due,$M40)),TEXT(INDEX(T_Due,$M40),"dd/mm/yy"),"—")&amp;IF(INDEX(T_Prio,$M40)="גבוהה","   🔥","")&amp;IF(INDEX(T_Eff,$M40)="תקוע","   ⛔ תקוע",""))</f>
        <v/>
      </c>
      <c r="E40" s="153">
        <f>IF($N40="","",INDEX(T_ID,$N40)&amp;"  ·  "&amp;INDEX(T_Task,$N40)&amp;CHAR(10)&amp;"👤 "&amp;INDEX(T_Owner,$N40)&amp;"   🎯 "&amp;IF(ISNUMBER(INDEX(T_Due,$N40)),TEXT(INDEX(T_Due,$N40),"dd/mm/yy"),"—")&amp;IF(INDEX(T_Prio,$N40)="גבוהה","   🔥","")&amp;IF(INDEX(T_Eff,$N40)="תקוע","   ⛔ תקוע",""))</f>
        <v/>
      </c>
      <c r="F40" s="153">
        <f>IF($O40="","",INDEX(T_ID,$O40)&amp;"  ·  "&amp;INDEX(T_Task,$O40)&amp;CHAR(10)&amp;"👤 "&amp;INDEX(T_Owner,$O40)&amp;"   🎯 "&amp;IF(ISNUMBER(INDEX(T_Due,$O40)),TEXT(INDEX(T_Due,$O40),"dd/mm/yy"),"—")&amp;IF(INDEX(T_Prio,$O40)="גבוהה","   🔥","")&amp;IF(INDEX(T_Eff,$O40)="תקוע","   ⛔ תקוע",""))</f>
        <v/>
      </c>
      <c r="G40" s="153">
        <f>IF($P40="","",INDEX(T_ID,$P40)&amp;"  ·  "&amp;INDEX(T_Task,$P40)&amp;CHAR(10)&amp;"👤 "&amp;INDEX(T_Owner,$P40)&amp;"   🎯 "&amp;IF(ISNUMBER(INDEX(T_Due,$P40)),TEXT(INDEX(T_Due,$P40),"dd/mm/yy"),"—")&amp;IF(INDEX(T_Prio,$P40)="גבוהה","   🔥","")&amp;IF(INDEX(T_Eff,$P40)="תקוע","   ⛔ תקוע",""))</f>
        <v/>
      </c>
      <c r="K40">
        <f>IFERROR(IF(SMALL(T_Kan,COUNTIF(T_Kan,"&lt;"&amp;1*100000)+35)&lt;2*100000,MATCH(SMALL(T_Kan,COUNTIF(T_Kan,"&lt;"&amp;1*100000)+35),T_Kan,0),""),"")</f>
        <v/>
      </c>
      <c r="L40">
        <f>IFERROR(IF(SMALL(T_Kan,COUNTIF(T_Kan,"&lt;"&amp;2*100000)+35)&lt;3*100000,MATCH(SMALL(T_Kan,COUNTIF(T_Kan,"&lt;"&amp;2*100000)+35),T_Kan,0),""),"")</f>
        <v/>
      </c>
      <c r="M40">
        <f>IFERROR(IF(SMALL(T_Kan,COUNTIF(T_Kan,"&lt;"&amp;3*100000)+35)&lt;4*100000,MATCH(SMALL(T_Kan,COUNTIF(T_Kan,"&lt;"&amp;3*100000)+35),T_Kan,0),""),"")</f>
        <v/>
      </c>
      <c r="N40">
        <f>IFERROR(IF(SMALL(T_Kan,COUNTIF(T_Kan,"&lt;"&amp;4*100000)+35)&lt;5*100000,MATCH(SMALL(T_Kan,COUNTIF(T_Kan,"&lt;"&amp;4*100000)+35),T_Kan,0),""),"")</f>
        <v/>
      </c>
      <c r="O40">
        <f>IFERROR(IF(SMALL(T_Kan,COUNTIF(T_Kan,"&lt;"&amp;5*100000)+35)&lt;6*100000,MATCH(SMALL(T_Kan,COUNTIF(T_Kan,"&lt;"&amp;5*100000)+35),T_Kan,0),""),"")</f>
        <v/>
      </c>
      <c r="P40">
        <f>IFERROR(IF(SMALL(T_Kan,COUNTIF(T_Kan,"&lt;"&amp;6*100000)+35)&lt;7*100000,MATCH(SMALL(T_Kan,COUNTIF(T_Kan,"&lt;"&amp;6*100000)+35),T_Kan,0),""),"")</f>
        <v/>
      </c>
    </row>
    <row r="41" ht="46" customHeight="1">
      <c r="B41" s="153">
        <f>IF($K41="","",INDEX(T_ID,$K41)&amp;"  ·  "&amp;INDEX(T_Task,$K41)&amp;CHAR(10)&amp;"👤 "&amp;INDEX(T_Owner,$K41)&amp;"   🎯 "&amp;IF(ISNUMBER(INDEX(T_Due,$K41)),TEXT(INDEX(T_Due,$K41),"dd/mm/yy"),"—")&amp;IF(INDEX(T_Prio,$K41)="גבוהה","   🔥","")&amp;IF(INDEX(T_Eff,$K41)="תקוע","   ⛔ תקוע",""))</f>
        <v/>
      </c>
      <c r="C41" s="153">
        <f>IF($L41="","",INDEX(T_ID,$L41)&amp;"  ·  "&amp;INDEX(T_Task,$L41)&amp;CHAR(10)&amp;"👤 "&amp;INDEX(T_Owner,$L41)&amp;"   🎯 "&amp;IF(ISNUMBER(INDEX(T_Due,$L41)),TEXT(INDEX(T_Due,$L41),"dd/mm/yy"),"—")&amp;IF(INDEX(T_Prio,$L41)="גבוהה","   🔥","")&amp;IF(INDEX(T_Eff,$L41)="תקוע","   ⛔ תקוע",""))</f>
        <v/>
      </c>
      <c r="D41" s="153">
        <f>IF($M41="","",INDEX(T_ID,$M41)&amp;"  ·  "&amp;INDEX(T_Task,$M41)&amp;CHAR(10)&amp;"👤 "&amp;INDEX(T_Owner,$M41)&amp;"   🎯 "&amp;IF(ISNUMBER(INDEX(T_Due,$M41)),TEXT(INDEX(T_Due,$M41),"dd/mm/yy"),"—")&amp;IF(INDEX(T_Prio,$M41)="גבוהה","   🔥","")&amp;IF(INDEX(T_Eff,$M41)="תקוע","   ⛔ תקוע",""))</f>
        <v/>
      </c>
      <c r="E41" s="153">
        <f>IF($N41="","",INDEX(T_ID,$N41)&amp;"  ·  "&amp;INDEX(T_Task,$N41)&amp;CHAR(10)&amp;"👤 "&amp;INDEX(T_Owner,$N41)&amp;"   🎯 "&amp;IF(ISNUMBER(INDEX(T_Due,$N41)),TEXT(INDEX(T_Due,$N41),"dd/mm/yy"),"—")&amp;IF(INDEX(T_Prio,$N41)="גבוהה","   🔥","")&amp;IF(INDEX(T_Eff,$N41)="תקוע","   ⛔ תקוע",""))</f>
        <v/>
      </c>
      <c r="F41" s="153">
        <f>IF($O41="","",INDEX(T_ID,$O41)&amp;"  ·  "&amp;INDEX(T_Task,$O41)&amp;CHAR(10)&amp;"👤 "&amp;INDEX(T_Owner,$O41)&amp;"   🎯 "&amp;IF(ISNUMBER(INDEX(T_Due,$O41)),TEXT(INDEX(T_Due,$O41),"dd/mm/yy"),"—")&amp;IF(INDEX(T_Prio,$O41)="גבוהה","   🔥","")&amp;IF(INDEX(T_Eff,$O41)="תקוע","   ⛔ תקוע",""))</f>
        <v/>
      </c>
      <c r="G41" s="153">
        <f>IF($P41="","",INDEX(T_ID,$P41)&amp;"  ·  "&amp;INDEX(T_Task,$P41)&amp;CHAR(10)&amp;"👤 "&amp;INDEX(T_Owner,$P41)&amp;"   🎯 "&amp;IF(ISNUMBER(INDEX(T_Due,$P41)),TEXT(INDEX(T_Due,$P41),"dd/mm/yy"),"—")&amp;IF(INDEX(T_Prio,$P41)="גבוהה","   🔥","")&amp;IF(INDEX(T_Eff,$P41)="תקוע","   ⛔ תקוע",""))</f>
        <v/>
      </c>
      <c r="K41">
        <f>IFERROR(IF(SMALL(T_Kan,COUNTIF(T_Kan,"&lt;"&amp;1*100000)+36)&lt;2*100000,MATCH(SMALL(T_Kan,COUNTIF(T_Kan,"&lt;"&amp;1*100000)+36),T_Kan,0),""),"")</f>
        <v/>
      </c>
      <c r="L41">
        <f>IFERROR(IF(SMALL(T_Kan,COUNTIF(T_Kan,"&lt;"&amp;2*100000)+36)&lt;3*100000,MATCH(SMALL(T_Kan,COUNTIF(T_Kan,"&lt;"&amp;2*100000)+36),T_Kan,0),""),"")</f>
        <v/>
      </c>
      <c r="M41">
        <f>IFERROR(IF(SMALL(T_Kan,COUNTIF(T_Kan,"&lt;"&amp;3*100000)+36)&lt;4*100000,MATCH(SMALL(T_Kan,COUNTIF(T_Kan,"&lt;"&amp;3*100000)+36),T_Kan,0),""),"")</f>
        <v/>
      </c>
      <c r="N41">
        <f>IFERROR(IF(SMALL(T_Kan,COUNTIF(T_Kan,"&lt;"&amp;4*100000)+36)&lt;5*100000,MATCH(SMALL(T_Kan,COUNTIF(T_Kan,"&lt;"&amp;4*100000)+36),T_Kan,0),""),"")</f>
        <v/>
      </c>
      <c r="O41">
        <f>IFERROR(IF(SMALL(T_Kan,COUNTIF(T_Kan,"&lt;"&amp;5*100000)+36)&lt;6*100000,MATCH(SMALL(T_Kan,COUNTIF(T_Kan,"&lt;"&amp;5*100000)+36),T_Kan,0),""),"")</f>
        <v/>
      </c>
      <c r="P41">
        <f>IFERROR(IF(SMALL(T_Kan,COUNTIF(T_Kan,"&lt;"&amp;6*100000)+36)&lt;7*100000,MATCH(SMALL(T_Kan,COUNTIF(T_Kan,"&lt;"&amp;6*100000)+36),T_Kan,0),""),"")</f>
        <v/>
      </c>
    </row>
    <row r="42" ht="46" customHeight="1">
      <c r="B42" s="153">
        <f>IF($K42="","",INDEX(T_ID,$K42)&amp;"  ·  "&amp;INDEX(T_Task,$K42)&amp;CHAR(10)&amp;"👤 "&amp;INDEX(T_Owner,$K42)&amp;"   🎯 "&amp;IF(ISNUMBER(INDEX(T_Due,$K42)),TEXT(INDEX(T_Due,$K42),"dd/mm/yy"),"—")&amp;IF(INDEX(T_Prio,$K42)="גבוהה","   🔥","")&amp;IF(INDEX(T_Eff,$K42)="תקוע","   ⛔ תקוע",""))</f>
        <v/>
      </c>
      <c r="C42" s="153">
        <f>IF($L42="","",INDEX(T_ID,$L42)&amp;"  ·  "&amp;INDEX(T_Task,$L42)&amp;CHAR(10)&amp;"👤 "&amp;INDEX(T_Owner,$L42)&amp;"   🎯 "&amp;IF(ISNUMBER(INDEX(T_Due,$L42)),TEXT(INDEX(T_Due,$L42),"dd/mm/yy"),"—")&amp;IF(INDEX(T_Prio,$L42)="גבוהה","   🔥","")&amp;IF(INDEX(T_Eff,$L42)="תקוע","   ⛔ תקוע",""))</f>
        <v/>
      </c>
      <c r="D42" s="153">
        <f>IF($M42="","",INDEX(T_ID,$M42)&amp;"  ·  "&amp;INDEX(T_Task,$M42)&amp;CHAR(10)&amp;"👤 "&amp;INDEX(T_Owner,$M42)&amp;"   🎯 "&amp;IF(ISNUMBER(INDEX(T_Due,$M42)),TEXT(INDEX(T_Due,$M42),"dd/mm/yy"),"—")&amp;IF(INDEX(T_Prio,$M42)="גבוהה","   🔥","")&amp;IF(INDEX(T_Eff,$M42)="תקוע","   ⛔ תקוע",""))</f>
        <v/>
      </c>
      <c r="E42" s="153">
        <f>IF($N42="","",INDEX(T_ID,$N42)&amp;"  ·  "&amp;INDEX(T_Task,$N42)&amp;CHAR(10)&amp;"👤 "&amp;INDEX(T_Owner,$N42)&amp;"   🎯 "&amp;IF(ISNUMBER(INDEX(T_Due,$N42)),TEXT(INDEX(T_Due,$N42),"dd/mm/yy"),"—")&amp;IF(INDEX(T_Prio,$N42)="גבוהה","   🔥","")&amp;IF(INDEX(T_Eff,$N42)="תקוע","   ⛔ תקוע",""))</f>
        <v/>
      </c>
      <c r="F42" s="153">
        <f>IF($O42="","",INDEX(T_ID,$O42)&amp;"  ·  "&amp;INDEX(T_Task,$O42)&amp;CHAR(10)&amp;"👤 "&amp;INDEX(T_Owner,$O42)&amp;"   🎯 "&amp;IF(ISNUMBER(INDEX(T_Due,$O42)),TEXT(INDEX(T_Due,$O42),"dd/mm/yy"),"—")&amp;IF(INDEX(T_Prio,$O42)="גבוהה","   🔥","")&amp;IF(INDEX(T_Eff,$O42)="תקוע","   ⛔ תקוע",""))</f>
        <v/>
      </c>
      <c r="G42" s="153">
        <f>IF($P42="","",INDEX(T_ID,$P42)&amp;"  ·  "&amp;INDEX(T_Task,$P42)&amp;CHAR(10)&amp;"👤 "&amp;INDEX(T_Owner,$P42)&amp;"   🎯 "&amp;IF(ISNUMBER(INDEX(T_Due,$P42)),TEXT(INDEX(T_Due,$P42),"dd/mm/yy"),"—")&amp;IF(INDEX(T_Prio,$P42)="גבוהה","   🔥","")&amp;IF(INDEX(T_Eff,$P42)="תקוע","   ⛔ תקוע",""))</f>
        <v/>
      </c>
      <c r="K42">
        <f>IFERROR(IF(SMALL(T_Kan,COUNTIF(T_Kan,"&lt;"&amp;1*100000)+37)&lt;2*100000,MATCH(SMALL(T_Kan,COUNTIF(T_Kan,"&lt;"&amp;1*100000)+37),T_Kan,0),""),"")</f>
        <v/>
      </c>
      <c r="L42">
        <f>IFERROR(IF(SMALL(T_Kan,COUNTIF(T_Kan,"&lt;"&amp;2*100000)+37)&lt;3*100000,MATCH(SMALL(T_Kan,COUNTIF(T_Kan,"&lt;"&amp;2*100000)+37),T_Kan,0),""),"")</f>
        <v/>
      </c>
      <c r="M42">
        <f>IFERROR(IF(SMALL(T_Kan,COUNTIF(T_Kan,"&lt;"&amp;3*100000)+37)&lt;4*100000,MATCH(SMALL(T_Kan,COUNTIF(T_Kan,"&lt;"&amp;3*100000)+37),T_Kan,0),""),"")</f>
        <v/>
      </c>
      <c r="N42">
        <f>IFERROR(IF(SMALL(T_Kan,COUNTIF(T_Kan,"&lt;"&amp;4*100000)+37)&lt;5*100000,MATCH(SMALL(T_Kan,COUNTIF(T_Kan,"&lt;"&amp;4*100000)+37),T_Kan,0),""),"")</f>
        <v/>
      </c>
      <c r="O42">
        <f>IFERROR(IF(SMALL(T_Kan,COUNTIF(T_Kan,"&lt;"&amp;5*100000)+37)&lt;6*100000,MATCH(SMALL(T_Kan,COUNTIF(T_Kan,"&lt;"&amp;5*100000)+37),T_Kan,0),""),"")</f>
        <v/>
      </c>
      <c r="P42">
        <f>IFERROR(IF(SMALL(T_Kan,COUNTIF(T_Kan,"&lt;"&amp;6*100000)+37)&lt;7*100000,MATCH(SMALL(T_Kan,COUNTIF(T_Kan,"&lt;"&amp;6*100000)+37),T_Kan,0),""),"")</f>
        <v/>
      </c>
    </row>
    <row r="43" ht="46" customHeight="1">
      <c r="B43" s="153">
        <f>IF($K43="","",INDEX(T_ID,$K43)&amp;"  ·  "&amp;INDEX(T_Task,$K43)&amp;CHAR(10)&amp;"👤 "&amp;INDEX(T_Owner,$K43)&amp;"   🎯 "&amp;IF(ISNUMBER(INDEX(T_Due,$K43)),TEXT(INDEX(T_Due,$K43),"dd/mm/yy"),"—")&amp;IF(INDEX(T_Prio,$K43)="גבוהה","   🔥","")&amp;IF(INDEX(T_Eff,$K43)="תקוע","   ⛔ תקוע",""))</f>
        <v/>
      </c>
      <c r="C43" s="153">
        <f>IF($L43="","",INDEX(T_ID,$L43)&amp;"  ·  "&amp;INDEX(T_Task,$L43)&amp;CHAR(10)&amp;"👤 "&amp;INDEX(T_Owner,$L43)&amp;"   🎯 "&amp;IF(ISNUMBER(INDEX(T_Due,$L43)),TEXT(INDEX(T_Due,$L43),"dd/mm/yy"),"—")&amp;IF(INDEX(T_Prio,$L43)="גבוהה","   🔥","")&amp;IF(INDEX(T_Eff,$L43)="תקוע","   ⛔ תקוע",""))</f>
        <v/>
      </c>
      <c r="D43" s="153">
        <f>IF($M43="","",INDEX(T_ID,$M43)&amp;"  ·  "&amp;INDEX(T_Task,$M43)&amp;CHAR(10)&amp;"👤 "&amp;INDEX(T_Owner,$M43)&amp;"   🎯 "&amp;IF(ISNUMBER(INDEX(T_Due,$M43)),TEXT(INDEX(T_Due,$M43),"dd/mm/yy"),"—")&amp;IF(INDEX(T_Prio,$M43)="גבוהה","   🔥","")&amp;IF(INDEX(T_Eff,$M43)="תקוע","   ⛔ תקוע",""))</f>
        <v/>
      </c>
      <c r="E43" s="153">
        <f>IF($N43="","",INDEX(T_ID,$N43)&amp;"  ·  "&amp;INDEX(T_Task,$N43)&amp;CHAR(10)&amp;"👤 "&amp;INDEX(T_Owner,$N43)&amp;"   🎯 "&amp;IF(ISNUMBER(INDEX(T_Due,$N43)),TEXT(INDEX(T_Due,$N43),"dd/mm/yy"),"—")&amp;IF(INDEX(T_Prio,$N43)="גבוהה","   🔥","")&amp;IF(INDEX(T_Eff,$N43)="תקוע","   ⛔ תקוע",""))</f>
        <v/>
      </c>
      <c r="F43" s="153">
        <f>IF($O43="","",INDEX(T_ID,$O43)&amp;"  ·  "&amp;INDEX(T_Task,$O43)&amp;CHAR(10)&amp;"👤 "&amp;INDEX(T_Owner,$O43)&amp;"   🎯 "&amp;IF(ISNUMBER(INDEX(T_Due,$O43)),TEXT(INDEX(T_Due,$O43),"dd/mm/yy"),"—")&amp;IF(INDEX(T_Prio,$O43)="גבוהה","   🔥","")&amp;IF(INDEX(T_Eff,$O43)="תקוע","   ⛔ תקוע",""))</f>
        <v/>
      </c>
      <c r="G43" s="153">
        <f>IF($P43="","",INDEX(T_ID,$P43)&amp;"  ·  "&amp;INDEX(T_Task,$P43)&amp;CHAR(10)&amp;"👤 "&amp;INDEX(T_Owner,$P43)&amp;"   🎯 "&amp;IF(ISNUMBER(INDEX(T_Due,$P43)),TEXT(INDEX(T_Due,$P43),"dd/mm/yy"),"—")&amp;IF(INDEX(T_Prio,$P43)="גבוהה","   🔥","")&amp;IF(INDEX(T_Eff,$P43)="תקוע","   ⛔ תקוע",""))</f>
        <v/>
      </c>
      <c r="K43">
        <f>IFERROR(IF(SMALL(T_Kan,COUNTIF(T_Kan,"&lt;"&amp;1*100000)+38)&lt;2*100000,MATCH(SMALL(T_Kan,COUNTIF(T_Kan,"&lt;"&amp;1*100000)+38),T_Kan,0),""),"")</f>
        <v/>
      </c>
      <c r="L43">
        <f>IFERROR(IF(SMALL(T_Kan,COUNTIF(T_Kan,"&lt;"&amp;2*100000)+38)&lt;3*100000,MATCH(SMALL(T_Kan,COUNTIF(T_Kan,"&lt;"&amp;2*100000)+38),T_Kan,0),""),"")</f>
        <v/>
      </c>
      <c r="M43">
        <f>IFERROR(IF(SMALL(T_Kan,COUNTIF(T_Kan,"&lt;"&amp;3*100000)+38)&lt;4*100000,MATCH(SMALL(T_Kan,COUNTIF(T_Kan,"&lt;"&amp;3*100000)+38),T_Kan,0),""),"")</f>
        <v/>
      </c>
      <c r="N43">
        <f>IFERROR(IF(SMALL(T_Kan,COUNTIF(T_Kan,"&lt;"&amp;4*100000)+38)&lt;5*100000,MATCH(SMALL(T_Kan,COUNTIF(T_Kan,"&lt;"&amp;4*100000)+38),T_Kan,0),""),"")</f>
        <v/>
      </c>
      <c r="O43">
        <f>IFERROR(IF(SMALL(T_Kan,COUNTIF(T_Kan,"&lt;"&amp;5*100000)+38)&lt;6*100000,MATCH(SMALL(T_Kan,COUNTIF(T_Kan,"&lt;"&amp;5*100000)+38),T_Kan,0),""),"")</f>
        <v/>
      </c>
      <c r="P43">
        <f>IFERROR(IF(SMALL(T_Kan,COUNTIF(T_Kan,"&lt;"&amp;6*100000)+38)&lt;7*100000,MATCH(SMALL(T_Kan,COUNTIF(T_Kan,"&lt;"&amp;6*100000)+38),T_Kan,0),""),"")</f>
        <v/>
      </c>
    </row>
    <row r="44" ht="46" customHeight="1">
      <c r="B44" s="153">
        <f>IF($K44="","",INDEX(T_ID,$K44)&amp;"  ·  "&amp;INDEX(T_Task,$K44)&amp;CHAR(10)&amp;"👤 "&amp;INDEX(T_Owner,$K44)&amp;"   🎯 "&amp;IF(ISNUMBER(INDEX(T_Due,$K44)),TEXT(INDEX(T_Due,$K44),"dd/mm/yy"),"—")&amp;IF(INDEX(T_Prio,$K44)="גבוהה","   🔥","")&amp;IF(INDEX(T_Eff,$K44)="תקוע","   ⛔ תקוע",""))</f>
        <v/>
      </c>
      <c r="C44" s="153">
        <f>IF($L44="","",INDEX(T_ID,$L44)&amp;"  ·  "&amp;INDEX(T_Task,$L44)&amp;CHAR(10)&amp;"👤 "&amp;INDEX(T_Owner,$L44)&amp;"   🎯 "&amp;IF(ISNUMBER(INDEX(T_Due,$L44)),TEXT(INDEX(T_Due,$L44),"dd/mm/yy"),"—")&amp;IF(INDEX(T_Prio,$L44)="גבוהה","   🔥","")&amp;IF(INDEX(T_Eff,$L44)="תקוע","   ⛔ תקוע",""))</f>
        <v/>
      </c>
      <c r="D44" s="153">
        <f>IF($M44="","",INDEX(T_ID,$M44)&amp;"  ·  "&amp;INDEX(T_Task,$M44)&amp;CHAR(10)&amp;"👤 "&amp;INDEX(T_Owner,$M44)&amp;"   🎯 "&amp;IF(ISNUMBER(INDEX(T_Due,$M44)),TEXT(INDEX(T_Due,$M44),"dd/mm/yy"),"—")&amp;IF(INDEX(T_Prio,$M44)="גבוהה","   🔥","")&amp;IF(INDEX(T_Eff,$M44)="תקוע","   ⛔ תקוע",""))</f>
        <v/>
      </c>
      <c r="E44" s="153">
        <f>IF($N44="","",INDEX(T_ID,$N44)&amp;"  ·  "&amp;INDEX(T_Task,$N44)&amp;CHAR(10)&amp;"👤 "&amp;INDEX(T_Owner,$N44)&amp;"   🎯 "&amp;IF(ISNUMBER(INDEX(T_Due,$N44)),TEXT(INDEX(T_Due,$N44),"dd/mm/yy"),"—")&amp;IF(INDEX(T_Prio,$N44)="גבוהה","   🔥","")&amp;IF(INDEX(T_Eff,$N44)="תקוע","   ⛔ תקוע",""))</f>
        <v/>
      </c>
      <c r="F44" s="153">
        <f>IF($O44="","",INDEX(T_ID,$O44)&amp;"  ·  "&amp;INDEX(T_Task,$O44)&amp;CHAR(10)&amp;"👤 "&amp;INDEX(T_Owner,$O44)&amp;"   🎯 "&amp;IF(ISNUMBER(INDEX(T_Due,$O44)),TEXT(INDEX(T_Due,$O44),"dd/mm/yy"),"—")&amp;IF(INDEX(T_Prio,$O44)="גבוהה","   🔥","")&amp;IF(INDEX(T_Eff,$O44)="תקוע","   ⛔ תקוע",""))</f>
        <v/>
      </c>
      <c r="G44" s="153">
        <f>IF($P44="","",INDEX(T_ID,$P44)&amp;"  ·  "&amp;INDEX(T_Task,$P44)&amp;CHAR(10)&amp;"👤 "&amp;INDEX(T_Owner,$P44)&amp;"   🎯 "&amp;IF(ISNUMBER(INDEX(T_Due,$P44)),TEXT(INDEX(T_Due,$P44),"dd/mm/yy"),"—")&amp;IF(INDEX(T_Prio,$P44)="גבוהה","   🔥","")&amp;IF(INDEX(T_Eff,$P44)="תקוע","   ⛔ תקוע",""))</f>
        <v/>
      </c>
      <c r="K44">
        <f>IFERROR(IF(SMALL(T_Kan,COUNTIF(T_Kan,"&lt;"&amp;1*100000)+39)&lt;2*100000,MATCH(SMALL(T_Kan,COUNTIF(T_Kan,"&lt;"&amp;1*100000)+39),T_Kan,0),""),"")</f>
        <v/>
      </c>
      <c r="L44">
        <f>IFERROR(IF(SMALL(T_Kan,COUNTIF(T_Kan,"&lt;"&amp;2*100000)+39)&lt;3*100000,MATCH(SMALL(T_Kan,COUNTIF(T_Kan,"&lt;"&amp;2*100000)+39),T_Kan,0),""),"")</f>
        <v/>
      </c>
      <c r="M44">
        <f>IFERROR(IF(SMALL(T_Kan,COUNTIF(T_Kan,"&lt;"&amp;3*100000)+39)&lt;4*100000,MATCH(SMALL(T_Kan,COUNTIF(T_Kan,"&lt;"&amp;3*100000)+39),T_Kan,0),""),"")</f>
        <v/>
      </c>
      <c r="N44">
        <f>IFERROR(IF(SMALL(T_Kan,COUNTIF(T_Kan,"&lt;"&amp;4*100000)+39)&lt;5*100000,MATCH(SMALL(T_Kan,COUNTIF(T_Kan,"&lt;"&amp;4*100000)+39),T_Kan,0),""),"")</f>
        <v/>
      </c>
      <c r="O44">
        <f>IFERROR(IF(SMALL(T_Kan,COUNTIF(T_Kan,"&lt;"&amp;5*100000)+39)&lt;6*100000,MATCH(SMALL(T_Kan,COUNTIF(T_Kan,"&lt;"&amp;5*100000)+39),T_Kan,0),""),"")</f>
        <v/>
      </c>
      <c r="P44">
        <f>IFERROR(IF(SMALL(T_Kan,COUNTIF(T_Kan,"&lt;"&amp;6*100000)+39)&lt;7*100000,MATCH(SMALL(T_Kan,COUNTIF(T_Kan,"&lt;"&amp;6*100000)+39),T_Kan,0),""),"")</f>
        <v/>
      </c>
    </row>
    <row r="45" ht="46" customHeight="1">
      <c r="B45" s="153">
        <f>IF($K45="","",INDEX(T_ID,$K45)&amp;"  ·  "&amp;INDEX(T_Task,$K45)&amp;CHAR(10)&amp;"👤 "&amp;INDEX(T_Owner,$K45)&amp;"   🎯 "&amp;IF(ISNUMBER(INDEX(T_Due,$K45)),TEXT(INDEX(T_Due,$K45),"dd/mm/yy"),"—")&amp;IF(INDEX(T_Prio,$K45)="גבוהה","   🔥","")&amp;IF(INDEX(T_Eff,$K45)="תקוע","   ⛔ תקוע",""))</f>
        <v/>
      </c>
      <c r="C45" s="153">
        <f>IF($L45="","",INDEX(T_ID,$L45)&amp;"  ·  "&amp;INDEX(T_Task,$L45)&amp;CHAR(10)&amp;"👤 "&amp;INDEX(T_Owner,$L45)&amp;"   🎯 "&amp;IF(ISNUMBER(INDEX(T_Due,$L45)),TEXT(INDEX(T_Due,$L45),"dd/mm/yy"),"—")&amp;IF(INDEX(T_Prio,$L45)="גבוהה","   🔥","")&amp;IF(INDEX(T_Eff,$L45)="תקוע","   ⛔ תקוע",""))</f>
        <v/>
      </c>
      <c r="D45" s="153">
        <f>IF($M45="","",INDEX(T_ID,$M45)&amp;"  ·  "&amp;INDEX(T_Task,$M45)&amp;CHAR(10)&amp;"👤 "&amp;INDEX(T_Owner,$M45)&amp;"   🎯 "&amp;IF(ISNUMBER(INDEX(T_Due,$M45)),TEXT(INDEX(T_Due,$M45),"dd/mm/yy"),"—")&amp;IF(INDEX(T_Prio,$M45)="גבוהה","   🔥","")&amp;IF(INDEX(T_Eff,$M45)="תקוע","   ⛔ תקוע",""))</f>
        <v/>
      </c>
      <c r="E45" s="153">
        <f>IF($N45="","",INDEX(T_ID,$N45)&amp;"  ·  "&amp;INDEX(T_Task,$N45)&amp;CHAR(10)&amp;"👤 "&amp;INDEX(T_Owner,$N45)&amp;"   🎯 "&amp;IF(ISNUMBER(INDEX(T_Due,$N45)),TEXT(INDEX(T_Due,$N45),"dd/mm/yy"),"—")&amp;IF(INDEX(T_Prio,$N45)="גבוהה","   🔥","")&amp;IF(INDEX(T_Eff,$N45)="תקוע","   ⛔ תקוע",""))</f>
        <v/>
      </c>
      <c r="F45" s="153">
        <f>IF($O45="","",INDEX(T_ID,$O45)&amp;"  ·  "&amp;INDEX(T_Task,$O45)&amp;CHAR(10)&amp;"👤 "&amp;INDEX(T_Owner,$O45)&amp;"   🎯 "&amp;IF(ISNUMBER(INDEX(T_Due,$O45)),TEXT(INDEX(T_Due,$O45),"dd/mm/yy"),"—")&amp;IF(INDEX(T_Prio,$O45)="גבוהה","   🔥","")&amp;IF(INDEX(T_Eff,$O45)="תקוע","   ⛔ תקוע",""))</f>
        <v/>
      </c>
      <c r="G45" s="153">
        <f>IF($P45="","",INDEX(T_ID,$P45)&amp;"  ·  "&amp;INDEX(T_Task,$P45)&amp;CHAR(10)&amp;"👤 "&amp;INDEX(T_Owner,$P45)&amp;"   🎯 "&amp;IF(ISNUMBER(INDEX(T_Due,$P45)),TEXT(INDEX(T_Due,$P45),"dd/mm/yy"),"—")&amp;IF(INDEX(T_Prio,$P45)="גבוהה","   🔥","")&amp;IF(INDEX(T_Eff,$P45)="תקוע","   ⛔ תקוע",""))</f>
        <v/>
      </c>
      <c r="K45">
        <f>IFERROR(IF(SMALL(T_Kan,COUNTIF(T_Kan,"&lt;"&amp;1*100000)+40)&lt;2*100000,MATCH(SMALL(T_Kan,COUNTIF(T_Kan,"&lt;"&amp;1*100000)+40),T_Kan,0),""),"")</f>
        <v/>
      </c>
      <c r="L45">
        <f>IFERROR(IF(SMALL(T_Kan,COUNTIF(T_Kan,"&lt;"&amp;2*100000)+40)&lt;3*100000,MATCH(SMALL(T_Kan,COUNTIF(T_Kan,"&lt;"&amp;2*100000)+40),T_Kan,0),""),"")</f>
        <v/>
      </c>
      <c r="M45">
        <f>IFERROR(IF(SMALL(T_Kan,COUNTIF(T_Kan,"&lt;"&amp;3*100000)+40)&lt;4*100000,MATCH(SMALL(T_Kan,COUNTIF(T_Kan,"&lt;"&amp;3*100000)+40),T_Kan,0),""),"")</f>
        <v/>
      </c>
      <c r="N45">
        <f>IFERROR(IF(SMALL(T_Kan,COUNTIF(T_Kan,"&lt;"&amp;4*100000)+40)&lt;5*100000,MATCH(SMALL(T_Kan,COUNTIF(T_Kan,"&lt;"&amp;4*100000)+40),T_Kan,0),""),"")</f>
        <v/>
      </c>
      <c r="O45">
        <f>IFERROR(IF(SMALL(T_Kan,COUNTIF(T_Kan,"&lt;"&amp;5*100000)+40)&lt;6*100000,MATCH(SMALL(T_Kan,COUNTIF(T_Kan,"&lt;"&amp;5*100000)+40),T_Kan,0),""),"")</f>
        <v/>
      </c>
      <c r="P45">
        <f>IFERROR(IF(SMALL(T_Kan,COUNTIF(T_Kan,"&lt;"&amp;6*100000)+40)&lt;7*100000,MATCH(SMALL(T_Kan,COUNTIF(T_Kan,"&lt;"&amp;6*100000)+40),T_Kan,0),""),"")</f>
        <v/>
      </c>
    </row>
    <row r="46" ht="46" customHeight="1">
      <c r="B46" s="153">
        <f>IF($K46="","",INDEX(T_ID,$K46)&amp;"  ·  "&amp;INDEX(T_Task,$K46)&amp;CHAR(10)&amp;"👤 "&amp;INDEX(T_Owner,$K46)&amp;"   🎯 "&amp;IF(ISNUMBER(INDEX(T_Due,$K46)),TEXT(INDEX(T_Due,$K46),"dd/mm/yy"),"—")&amp;IF(INDEX(T_Prio,$K46)="גבוהה","   🔥","")&amp;IF(INDEX(T_Eff,$K46)="תקוע","   ⛔ תקוע",""))</f>
        <v/>
      </c>
      <c r="C46" s="153">
        <f>IF($L46="","",INDEX(T_ID,$L46)&amp;"  ·  "&amp;INDEX(T_Task,$L46)&amp;CHAR(10)&amp;"👤 "&amp;INDEX(T_Owner,$L46)&amp;"   🎯 "&amp;IF(ISNUMBER(INDEX(T_Due,$L46)),TEXT(INDEX(T_Due,$L46),"dd/mm/yy"),"—")&amp;IF(INDEX(T_Prio,$L46)="גבוהה","   🔥","")&amp;IF(INDEX(T_Eff,$L46)="תקוע","   ⛔ תקוע",""))</f>
        <v/>
      </c>
      <c r="D46" s="153">
        <f>IF($M46="","",INDEX(T_ID,$M46)&amp;"  ·  "&amp;INDEX(T_Task,$M46)&amp;CHAR(10)&amp;"👤 "&amp;INDEX(T_Owner,$M46)&amp;"   🎯 "&amp;IF(ISNUMBER(INDEX(T_Due,$M46)),TEXT(INDEX(T_Due,$M46),"dd/mm/yy"),"—")&amp;IF(INDEX(T_Prio,$M46)="גבוהה","   🔥","")&amp;IF(INDEX(T_Eff,$M46)="תקוע","   ⛔ תקוע",""))</f>
        <v/>
      </c>
      <c r="E46" s="153">
        <f>IF($N46="","",INDEX(T_ID,$N46)&amp;"  ·  "&amp;INDEX(T_Task,$N46)&amp;CHAR(10)&amp;"👤 "&amp;INDEX(T_Owner,$N46)&amp;"   🎯 "&amp;IF(ISNUMBER(INDEX(T_Due,$N46)),TEXT(INDEX(T_Due,$N46),"dd/mm/yy"),"—")&amp;IF(INDEX(T_Prio,$N46)="גבוהה","   🔥","")&amp;IF(INDEX(T_Eff,$N46)="תקוע","   ⛔ תקוע",""))</f>
        <v/>
      </c>
      <c r="F46" s="153">
        <f>IF($O46="","",INDEX(T_ID,$O46)&amp;"  ·  "&amp;INDEX(T_Task,$O46)&amp;CHAR(10)&amp;"👤 "&amp;INDEX(T_Owner,$O46)&amp;"   🎯 "&amp;IF(ISNUMBER(INDEX(T_Due,$O46)),TEXT(INDEX(T_Due,$O46),"dd/mm/yy"),"—")&amp;IF(INDEX(T_Prio,$O46)="גבוהה","   🔥","")&amp;IF(INDEX(T_Eff,$O46)="תקוע","   ⛔ תקוע",""))</f>
        <v/>
      </c>
      <c r="G46" s="153">
        <f>IF($P46="","",INDEX(T_ID,$P46)&amp;"  ·  "&amp;INDEX(T_Task,$P46)&amp;CHAR(10)&amp;"👤 "&amp;INDEX(T_Owner,$P46)&amp;"   🎯 "&amp;IF(ISNUMBER(INDEX(T_Due,$P46)),TEXT(INDEX(T_Due,$P46),"dd/mm/yy"),"—")&amp;IF(INDEX(T_Prio,$P46)="גבוהה","   🔥","")&amp;IF(INDEX(T_Eff,$P46)="תקוע","   ⛔ תקוע",""))</f>
        <v/>
      </c>
      <c r="K46">
        <f>IFERROR(IF(SMALL(T_Kan,COUNTIF(T_Kan,"&lt;"&amp;1*100000)+41)&lt;2*100000,MATCH(SMALL(T_Kan,COUNTIF(T_Kan,"&lt;"&amp;1*100000)+41),T_Kan,0),""),"")</f>
        <v/>
      </c>
      <c r="L46">
        <f>IFERROR(IF(SMALL(T_Kan,COUNTIF(T_Kan,"&lt;"&amp;2*100000)+41)&lt;3*100000,MATCH(SMALL(T_Kan,COUNTIF(T_Kan,"&lt;"&amp;2*100000)+41),T_Kan,0),""),"")</f>
        <v/>
      </c>
      <c r="M46">
        <f>IFERROR(IF(SMALL(T_Kan,COUNTIF(T_Kan,"&lt;"&amp;3*100000)+41)&lt;4*100000,MATCH(SMALL(T_Kan,COUNTIF(T_Kan,"&lt;"&amp;3*100000)+41),T_Kan,0),""),"")</f>
        <v/>
      </c>
      <c r="N46">
        <f>IFERROR(IF(SMALL(T_Kan,COUNTIF(T_Kan,"&lt;"&amp;4*100000)+41)&lt;5*100000,MATCH(SMALL(T_Kan,COUNTIF(T_Kan,"&lt;"&amp;4*100000)+41),T_Kan,0),""),"")</f>
        <v/>
      </c>
      <c r="O46">
        <f>IFERROR(IF(SMALL(T_Kan,COUNTIF(T_Kan,"&lt;"&amp;5*100000)+41)&lt;6*100000,MATCH(SMALL(T_Kan,COUNTIF(T_Kan,"&lt;"&amp;5*100000)+41),T_Kan,0),""),"")</f>
        <v/>
      </c>
      <c r="P46">
        <f>IFERROR(IF(SMALL(T_Kan,COUNTIF(T_Kan,"&lt;"&amp;6*100000)+41)&lt;7*100000,MATCH(SMALL(T_Kan,COUNTIF(T_Kan,"&lt;"&amp;6*100000)+41),T_Kan,0),""),"")</f>
        <v/>
      </c>
    </row>
    <row r="47" ht="46" customHeight="1">
      <c r="B47" s="153">
        <f>IF($K47="","",INDEX(T_ID,$K47)&amp;"  ·  "&amp;INDEX(T_Task,$K47)&amp;CHAR(10)&amp;"👤 "&amp;INDEX(T_Owner,$K47)&amp;"   🎯 "&amp;IF(ISNUMBER(INDEX(T_Due,$K47)),TEXT(INDEX(T_Due,$K47),"dd/mm/yy"),"—")&amp;IF(INDEX(T_Prio,$K47)="גבוהה","   🔥","")&amp;IF(INDEX(T_Eff,$K47)="תקוע","   ⛔ תקוע",""))</f>
        <v/>
      </c>
      <c r="C47" s="153">
        <f>IF($L47="","",INDEX(T_ID,$L47)&amp;"  ·  "&amp;INDEX(T_Task,$L47)&amp;CHAR(10)&amp;"👤 "&amp;INDEX(T_Owner,$L47)&amp;"   🎯 "&amp;IF(ISNUMBER(INDEX(T_Due,$L47)),TEXT(INDEX(T_Due,$L47),"dd/mm/yy"),"—")&amp;IF(INDEX(T_Prio,$L47)="גבוהה","   🔥","")&amp;IF(INDEX(T_Eff,$L47)="תקוע","   ⛔ תקוע",""))</f>
        <v/>
      </c>
      <c r="D47" s="153">
        <f>IF($M47="","",INDEX(T_ID,$M47)&amp;"  ·  "&amp;INDEX(T_Task,$M47)&amp;CHAR(10)&amp;"👤 "&amp;INDEX(T_Owner,$M47)&amp;"   🎯 "&amp;IF(ISNUMBER(INDEX(T_Due,$M47)),TEXT(INDEX(T_Due,$M47),"dd/mm/yy"),"—")&amp;IF(INDEX(T_Prio,$M47)="גבוהה","   🔥","")&amp;IF(INDEX(T_Eff,$M47)="תקוע","   ⛔ תקוע",""))</f>
        <v/>
      </c>
      <c r="E47" s="153">
        <f>IF($N47="","",INDEX(T_ID,$N47)&amp;"  ·  "&amp;INDEX(T_Task,$N47)&amp;CHAR(10)&amp;"👤 "&amp;INDEX(T_Owner,$N47)&amp;"   🎯 "&amp;IF(ISNUMBER(INDEX(T_Due,$N47)),TEXT(INDEX(T_Due,$N47),"dd/mm/yy"),"—")&amp;IF(INDEX(T_Prio,$N47)="גבוהה","   🔥","")&amp;IF(INDEX(T_Eff,$N47)="תקוע","   ⛔ תקוע",""))</f>
        <v/>
      </c>
      <c r="F47" s="153">
        <f>IF($O47="","",INDEX(T_ID,$O47)&amp;"  ·  "&amp;INDEX(T_Task,$O47)&amp;CHAR(10)&amp;"👤 "&amp;INDEX(T_Owner,$O47)&amp;"   🎯 "&amp;IF(ISNUMBER(INDEX(T_Due,$O47)),TEXT(INDEX(T_Due,$O47),"dd/mm/yy"),"—")&amp;IF(INDEX(T_Prio,$O47)="גבוהה","   🔥","")&amp;IF(INDEX(T_Eff,$O47)="תקוע","   ⛔ תקוע",""))</f>
        <v/>
      </c>
      <c r="G47" s="153">
        <f>IF($P47="","",INDEX(T_ID,$P47)&amp;"  ·  "&amp;INDEX(T_Task,$P47)&amp;CHAR(10)&amp;"👤 "&amp;INDEX(T_Owner,$P47)&amp;"   🎯 "&amp;IF(ISNUMBER(INDEX(T_Due,$P47)),TEXT(INDEX(T_Due,$P47),"dd/mm/yy"),"—")&amp;IF(INDEX(T_Prio,$P47)="גבוהה","   🔥","")&amp;IF(INDEX(T_Eff,$P47)="תקוע","   ⛔ תקוע",""))</f>
        <v/>
      </c>
      <c r="K47">
        <f>IFERROR(IF(SMALL(T_Kan,COUNTIF(T_Kan,"&lt;"&amp;1*100000)+42)&lt;2*100000,MATCH(SMALL(T_Kan,COUNTIF(T_Kan,"&lt;"&amp;1*100000)+42),T_Kan,0),""),"")</f>
        <v/>
      </c>
      <c r="L47">
        <f>IFERROR(IF(SMALL(T_Kan,COUNTIF(T_Kan,"&lt;"&amp;2*100000)+42)&lt;3*100000,MATCH(SMALL(T_Kan,COUNTIF(T_Kan,"&lt;"&amp;2*100000)+42),T_Kan,0),""),"")</f>
        <v/>
      </c>
      <c r="M47">
        <f>IFERROR(IF(SMALL(T_Kan,COUNTIF(T_Kan,"&lt;"&amp;3*100000)+42)&lt;4*100000,MATCH(SMALL(T_Kan,COUNTIF(T_Kan,"&lt;"&amp;3*100000)+42),T_Kan,0),""),"")</f>
        <v/>
      </c>
      <c r="N47">
        <f>IFERROR(IF(SMALL(T_Kan,COUNTIF(T_Kan,"&lt;"&amp;4*100000)+42)&lt;5*100000,MATCH(SMALL(T_Kan,COUNTIF(T_Kan,"&lt;"&amp;4*100000)+42),T_Kan,0),""),"")</f>
        <v/>
      </c>
      <c r="O47">
        <f>IFERROR(IF(SMALL(T_Kan,COUNTIF(T_Kan,"&lt;"&amp;5*100000)+42)&lt;6*100000,MATCH(SMALL(T_Kan,COUNTIF(T_Kan,"&lt;"&amp;5*100000)+42),T_Kan,0),""),"")</f>
        <v/>
      </c>
      <c r="P47">
        <f>IFERROR(IF(SMALL(T_Kan,COUNTIF(T_Kan,"&lt;"&amp;6*100000)+42)&lt;7*100000,MATCH(SMALL(T_Kan,COUNTIF(T_Kan,"&lt;"&amp;6*100000)+42),T_Kan,0),""),"")</f>
        <v/>
      </c>
    </row>
    <row r="48" ht="46" customHeight="1">
      <c r="B48" s="153">
        <f>IF($K48="","",INDEX(T_ID,$K48)&amp;"  ·  "&amp;INDEX(T_Task,$K48)&amp;CHAR(10)&amp;"👤 "&amp;INDEX(T_Owner,$K48)&amp;"   🎯 "&amp;IF(ISNUMBER(INDEX(T_Due,$K48)),TEXT(INDEX(T_Due,$K48),"dd/mm/yy"),"—")&amp;IF(INDEX(T_Prio,$K48)="גבוהה","   🔥","")&amp;IF(INDEX(T_Eff,$K48)="תקוע","   ⛔ תקוע",""))</f>
        <v/>
      </c>
      <c r="C48" s="153">
        <f>IF($L48="","",INDEX(T_ID,$L48)&amp;"  ·  "&amp;INDEX(T_Task,$L48)&amp;CHAR(10)&amp;"👤 "&amp;INDEX(T_Owner,$L48)&amp;"   🎯 "&amp;IF(ISNUMBER(INDEX(T_Due,$L48)),TEXT(INDEX(T_Due,$L48),"dd/mm/yy"),"—")&amp;IF(INDEX(T_Prio,$L48)="גבוהה","   🔥","")&amp;IF(INDEX(T_Eff,$L48)="תקוע","   ⛔ תקוע",""))</f>
        <v/>
      </c>
      <c r="D48" s="153">
        <f>IF($M48="","",INDEX(T_ID,$M48)&amp;"  ·  "&amp;INDEX(T_Task,$M48)&amp;CHAR(10)&amp;"👤 "&amp;INDEX(T_Owner,$M48)&amp;"   🎯 "&amp;IF(ISNUMBER(INDEX(T_Due,$M48)),TEXT(INDEX(T_Due,$M48),"dd/mm/yy"),"—")&amp;IF(INDEX(T_Prio,$M48)="גבוהה","   🔥","")&amp;IF(INDEX(T_Eff,$M48)="תקוע","   ⛔ תקוע",""))</f>
        <v/>
      </c>
      <c r="E48" s="153">
        <f>IF($N48="","",INDEX(T_ID,$N48)&amp;"  ·  "&amp;INDEX(T_Task,$N48)&amp;CHAR(10)&amp;"👤 "&amp;INDEX(T_Owner,$N48)&amp;"   🎯 "&amp;IF(ISNUMBER(INDEX(T_Due,$N48)),TEXT(INDEX(T_Due,$N48),"dd/mm/yy"),"—")&amp;IF(INDEX(T_Prio,$N48)="גבוהה","   🔥","")&amp;IF(INDEX(T_Eff,$N48)="תקוע","   ⛔ תקוע",""))</f>
        <v/>
      </c>
      <c r="F48" s="153">
        <f>IF($O48="","",INDEX(T_ID,$O48)&amp;"  ·  "&amp;INDEX(T_Task,$O48)&amp;CHAR(10)&amp;"👤 "&amp;INDEX(T_Owner,$O48)&amp;"   🎯 "&amp;IF(ISNUMBER(INDEX(T_Due,$O48)),TEXT(INDEX(T_Due,$O48),"dd/mm/yy"),"—")&amp;IF(INDEX(T_Prio,$O48)="גבוהה","   🔥","")&amp;IF(INDEX(T_Eff,$O48)="תקוע","   ⛔ תקוע",""))</f>
        <v/>
      </c>
      <c r="G48" s="153">
        <f>IF($P48="","",INDEX(T_ID,$P48)&amp;"  ·  "&amp;INDEX(T_Task,$P48)&amp;CHAR(10)&amp;"👤 "&amp;INDEX(T_Owner,$P48)&amp;"   🎯 "&amp;IF(ISNUMBER(INDEX(T_Due,$P48)),TEXT(INDEX(T_Due,$P48),"dd/mm/yy"),"—")&amp;IF(INDEX(T_Prio,$P48)="גבוהה","   🔥","")&amp;IF(INDEX(T_Eff,$P48)="תקוע","   ⛔ תקוע",""))</f>
        <v/>
      </c>
      <c r="K48">
        <f>IFERROR(IF(SMALL(T_Kan,COUNTIF(T_Kan,"&lt;"&amp;1*100000)+43)&lt;2*100000,MATCH(SMALL(T_Kan,COUNTIF(T_Kan,"&lt;"&amp;1*100000)+43),T_Kan,0),""),"")</f>
        <v/>
      </c>
      <c r="L48">
        <f>IFERROR(IF(SMALL(T_Kan,COUNTIF(T_Kan,"&lt;"&amp;2*100000)+43)&lt;3*100000,MATCH(SMALL(T_Kan,COUNTIF(T_Kan,"&lt;"&amp;2*100000)+43),T_Kan,0),""),"")</f>
        <v/>
      </c>
      <c r="M48">
        <f>IFERROR(IF(SMALL(T_Kan,COUNTIF(T_Kan,"&lt;"&amp;3*100000)+43)&lt;4*100000,MATCH(SMALL(T_Kan,COUNTIF(T_Kan,"&lt;"&amp;3*100000)+43),T_Kan,0),""),"")</f>
        <v/>
      </c>
      <c r="N48">
        <f>IFERROR(IF(SMALL(T_Kan,COUNTIF(T_Kan,"&lt;"&amp;4*100000)+43)&lt;5*100000,MATCH(SMALL(T_Kan,COUNTIF(T_Kan,"&lt;"&amp;4*100000)+43),T_Kan,0),""),"")</f>
        <v/>
      </c>
      <c r="O48">
        <f>IFERROR(IF(SMALL(T_Kan,COUNTIF(T_Kan,"&lt;"&amp;5*100000)+43)&lt;6*100000,MATCH(SMALL(T_Kan,COUNTIF(T_Kan,"&lt;"&amp;5*100000)+43),T_Kan,0),""),"")</f>
        <v/>
      </c>
      <c r="P48">
        <f>IFERROR(IF(SMALL(T_Kan,COUNTIF(T_Kan,"&lt;"&amp;6*100000)+43)&lt;7*100000,MATCH(SMALL(T_Kan,COUNTIF(T_Kan,"&lt;"&amp;6*100000)+43),T_Kan,0),""),"")</f>
        <v/>
      </c>
    </row>
    <row r="49" ht="46" customHeight="1">
      <c r="B49" s="153">
        <f>IF($K49="","",INDEX(T_ID,$K49)&amp;"  ·  "&amp;INDEX(T_Task,$K49)&amp;CHAR(10)&amp;"👤 "&amp;INDEX(T_Owner,$K49)&amp;"   🎯 "&amp;IF(ISNUMBER(INDEX(T_Due,$K49)),TEXT(INDEX(T_Due,$K49),"dd/mm/yy"),"—")&amp;IF(INDEX(T_Prio,$K49)="גבוהה","   🔥","")&amp;IF(INDEX(T_Eff,$K49)="תקוע","   ⛔ תקוע",""))</f>
        <v/>
      </c>
      <c r="C49" s="153">
        <f>IF($L49="","",INDEX(T_ID,$L49)&amp;"  ·  "&amp;INDEX(T_Task,$L49)&amp;CHAR(10)&amp;"👤 "&amp;INDEX(T_Owner,$L49)&amp;"   🎯 "&amp;IF(ISNUMBER(INDEX(T_Due,$L49)),TEXT(INDEX(T_Due,$L49),"dd/mm/yy"),"—")&amp;IF(INDEX(T_Prio,$L49)="גבוהה","   🔥","")&amp;IF(INDEX(T_Eff,$L49)="תקוע","   ⛔ תקוע",""))</f>
        <v/>
      </c>
      <c r="D49" s="153">
        <f>IF($M49="","",INDEX(T_ID,$M49)&amp;"  ·  "&amp;INDEX(T_Task,$M49)&amp;CHAR(10)&amp;"👤 "&amp;INDEX(T_Owner,$M49)&amp;"   🎯 "&amp;IF(ISNUMBER(INDEX(T_Due,$M49)),TEXT(INDEX(T_Due,$M49),"dd/mm/yy"),"—")&amp;IF(INDEX(T_Prio,$M49)="גבוהה","   🔥","")&amp;IF(INDEX(T_Eff,$M49)="תקוע","   ⛔ תקוע",""))</f>
        <v/>
      </c>
      <c r="E49" s="153">
        <f>IF($N49="","",INDEX(T_ID,$N49)&amp;"  ·  "&amp;INDEX(T_Task,$N49)&amp;CHAR(10)&amp;"👤 "&amp;INDEX(T_Owner,$N49)&amp;"   🎯 "&amp;IF(ISNUMBER(INDEX(T_Due,$N49)),TEXT(INDEX(T_Due,$N49),"dd/mm/yy"),"—")&amp;IF(INDEX(T_Prio,$N49)="גבוהה","   🔥","")&amp;IF(INDEX(T_Eff,$N49)="תקוע","   ⛔ תקוע",""))</f>
        <v/>
      </c>
      <c r="F49" s="153">
        <f>IF($O49="","",INDEX(T_ID,$O49)&amp;"  ·  "&amp;INDEX(T_Task,$O49)&amp;CHAR(10)&amp;"👤 "&amp;INDEX(T_Owner,$O49)&amp;"   🎯 "&amp;IF(ISNUMBER(INDEX(T_Due,$O49)),TEXT(INDEX(T_Due,$O49),"dd/mm/yy"),"—")&amp;IF(INDEX(T_Prio,$O49)="גבוהה","   🔥","")&amp;IF(INDEX(T_Eff,$O49)="תקוע","   ⛔ תקוע",""))</f>
        <v/>
      </c>
      <c r="G49" s="153">
        <f>IF($P49="","",INDEX(T_ID,$P49)&amp;"  ·  "&amp;INDEX(T_Task,$P49)&amp;CHAR(10)&amp;"👤 "&amp;INDEX(T_Owner,$P49)&amp;"   🎯 "&amp;IF(ISNUMBER(INDEX(T_Due,$P49)),TEXT(INDEX(T_Due,$P49),"dd/mm/yy"),"—")&amp;IF(INDEX(T_Prio,$P49)="גבוהה","   🔥","")&amp;IF(INDEX(T_Eff,$P49)="תקוע","   ⛔ תקוע",""))</f>
        <v/>
      </c>
      <c r="K49">
        <f>IFERROR(IF(SMALL(T_Kan,COUNTIF(T_Kan,"&lt;"&amp;1*100000)+44)&lt;2*100000,MATCH(SMALL(T_Kan,COUNTIF(T_Kan,"&lt;"&amp;1*100000)+44),T_Kan,0),""),"")</f>
        <v/>
      </c>
      <c r="L49">
        <f>IFERROR(IF(SMALL(T_Kan,COUNTIF(T_Kan,"&lt;"&amp;2*100000)+44)&lt;3*100000,MATCH(SMALL(T_Kan,COUNTIF(T_Kan,"&lt;"&amp;2*100000)+44),T_Kan,0),""),"")</f>
        <v/>
      </c>
      <c r="M49">
        <f>IFERROR(IF(SMALL(T_Kan,COUNTIF(T_Kan,"&lt;"&amp;3*100000)+44)&lt;4*100000,MATCH(SMALL(T_Kan,COUNTIF(T_Kan,"&lt;"&amp;3*100000)+44),T_Kan,0),""),"")</f>
        <v/>
      </c>
      <c r="N49">
        <f>IFERROR(IF(SMALL(T_Kan,COUNTIF(T_Kan,"&lt;"&amp;4*100000)+44)&lt;5*100000,MATCH(SMALL(T_Kan,COUNTIF(T_Kan,"&lt;"&amp;4*100000)+44),T_Kan,0),""),"")</f>
        <v/>
      </c>
      <c r="O49">
        <f>IFERROR(IF(SMALL(T_Kan,COUNTIF(T_Kan,"&lt;"&amp;5*100000)+44)&lt;6*100000,MATCH(SMALL(T_Kan,COUNTIF(T_Kan,"&lt;"&amp;5*100000)+44),T_Kan,0),""),"")</f>
        <v/>
      </c>
      <c r="P49">
        <f>IFERROR(IF(SMALL(T_Kan,COUNTIF(T_Kan,"&lt;"&amp;6*100000)+44)&lt;7*100000,MATCH(SMALL(T_Kan,COUNTIF(T_Kan,"&lt;"&amp;6*100000)+44),T_Kan,0),""),"")</f>
        <v/>
      </c>
    </row>
    <row r="50" ht="46" customHeight="1">
      <c r="B50" s="153">
        <f>IF($K50="","",INDEX(T_ID,$K50)&amp;"  ·  "&amp;INDEX(T_Task,$K50)&amp;CHAR(10)&amp;"👤 "&amp;INDEX(T_Owner,$K50)&amp;"   🎯 "&amp;IF(ISNUMBER(INDEX(T_Due,$K50)),TEXT(INDEX(T_Due,$K50),"dd/mm/yy"),"—")&amp;IF(INDEX(T_Prio,$K50)="גבוהה","   🔥","")&amp;IF(INDEX(T_Eff,$K50)="תקוע","   ⛔ תקוע",""))</f>
        <v/>
      </c>
      <c r="C50" s="153">
        <f>IF($L50="","",INDEX(T_ID,$L50)&amp;"  ·  "&amp;INDEX(T_Task,$L50)&amp;CHAR(10)&amp;"👤 "&amp;INDEX(T_Owner,$L50)&amp;"   🎯 "&amp;IF(ISNUMBER(INDEX(T_Due,$L50)),TEXT(INDEX(T_Due,$L50),"dd/mm/yy"),"—")&amp;IF(INDEX(T_Prio,$L50)="גבוהה","   🔥","")&amp;IF(INDEX(T_Eff,$L50)="תקוע","   ⛔ תקוע",""))</f>
        <v/>
      </c>
      <c r="D50" s="153">
        <f>IF($M50="","",INDEX(T_ID,$M50)&amp;"  ·  "&amp;INDEX(T_Task,$M50)&amp;CHAR(10)&amp;"👤 "&amp;INDEX(T_Owner,$M50)&amp;"   🎯 "&amp;IF(ISNUMBER(INDEX(T_Due,$M50)),TEXT(INDEX(T_Due,$M50),"dd/mm/yy"),"—")&amp;IF(INDEX(T_Prio,$M50)="גבוהה","   🔥","")&amp;IF(INDEX(T_Eff,$M50)="תקוע","   ⛔ תקוע",""))</f>
        <v/>
      </c>
      <c r="E50" s="153">
        <f>IF($N50="","",INDEX(T_ID,$N50)&amp;"  ·  "&amp;INDEX(T_Task,$N50)&amp;CHAR(10)&amp;"👤 "&amp;INDEX(T_Owner,$N50)&amp;"   🎯 "&amp;IF(ISNUMBER(INDEX(T_Due,$N50)),TEXT(INDEX(T_Due,$N50),"dd/mm/yy"),"—")&amp;IF(INDEX(T_Prio,$N50)="גבוהה","   🔥","")&amp;IF(INDEX(T_Eff,$N50)="תקוע","   ⛔ תקוע",""))</f>
        <v/>
      </c>
      <c r="F50" s="153">
        <f>IF($O50="","",INDEX(T_ID,$O50)&amp;"  ·  "&amp;INDEX(T_Task,$O50)&amp;CHAR(10)&amp;"👤 "&amp;INDEX(T_Owner,$O50)&amp;"   🎯 "&amp;IF(ISNUMBER(INDEX(T_Due,$O50)),TEXT(INDEX(T_Due,$O50),"dd/mm/yy"),"—")&amp;IF(INDEX(T_Prio,$O50)="גבוהה","   🔥","")&amp;IF(INDEX(T_Eff,$O50)="תקוע","   ⛔ תקוע",""))</f>
        <v/>
      </c>
      <c r="G50" s="153">
        <f>IF($P50="","",INDEX(T_ID,$P50)&amp;"  ·  "&amp;INDEX(T_Task,$P50)&amp;CHAR(10)&amp;"👤 "&amp;INDEX(T_Owner,$P50)&amp;"   🎯 "&amp;IF(ISNUMBER(INDEX(T_Due,$P50)),TEXT(INDEX(T_Due,$P50),"dd/mm/yy"),"—")&amp;IF(INDEX(T_Prio,$P50)="גבוהה","   🔥","")&amp;IF(INDEX(T_Eff,$P50)="תקוע","   ⛔ תקוע",""))</f>
        <v/>
      </c>
      <c r="K50">
        <f>IFERROR(IF(SMALL(T_Kan,COUNTIF(T_Kan,"&lt;"&amp;1*100000)+45)&lt;2*100000,MATCH(SMALL(T_Kan,COUNTIF(T_Kan,"&lt;"&amp;1*100000)+45),T_Kan,0),""),"")</f>
        <v/>
      </c>
      <c r="L50">
        <f>IFERROR(IF(SMALL(T_Kan,COUNTIF(T_Kan,"&lt;"&amp;2*100000)+45)&lt;3*100000,MATCH(SMALL(T_Kan,COUNTIF(T_Kan,"&lt;"&amp;2*100000)+45),T_Kan,0),""),"")</f>
        <v/>
      </c>
      <c r="M50">
        <f>IFERROR(IF(SMALL(T_Kan,COUNTIF(T_Kan,"&lt;"&amp;3*100000)+45)&lt;4*100000,MATCH(SMALL(T_Kan,COUNTIF(T_Kan,"&lt;"&amp;3*100000)+45),T_Kan,0),""),"")</f>
        <v/>
      </c>
      <c r="N50">
        <f>IFERROR(IF(SMALL(T_Kan,COUNTIF(T_Kan,"&lt;"&amp;4*100000)+45)&lt;5*100000,MATCH(SMALL(T_Kan,COUNTIF(T_Kan,"&lt;"&amp;4*100000)+45),T_Kan,0),""),"")</f>
        <v/>
      </c>
      <c r="O50">
        <f>IFERROR(IF(SMALL(T_Kan,COUNTIF(T_Kan,"&lt;"&amp;5*100000)+45)&lt;6*100000,MATCH(SMALL(T_Kan,COUNTIF(T_Kan,"&lt;"&amp;5*100000)+45),T_Kan,0),""),"")</f>
        <v/>
      </c>
      <c r="P50">
        <f>IFERROR(IF(SMALL(T_Kan,COUNTIF(T_Kan,"&lt;"&amp;6*100000)+45)&lt;7*100000,MATCH(SMALL(T_Kan,COUNTIF(T_Kan,"&lt;"&amp;6*100000)+45),T_Kan,0),""),"")</f>
        <v/>
      </c>
    </row>
    <row r="51" ht="46" customHeight="1">
      <c r="B51" s="153">
        <f>IF($K51="","",INDEX(T_ID,$K51)&amp;"  ·  "&amp;INDEX(T_Task,$K51)&amp;CHAR(10)&amp;"👤 "&amp;INDEX(T_Owner,$K51)&amp;"   🎯 "&amp;IF(ISNUMBER(INDEX(T_Due,$K51)),TEXT(INDEX(T_Due,$K51),"dd/mm/yy"),"—")&amp;IF(INDEX(T_Prio,$K51)="גבוהה","   🔥","")&amp;IF(INDEX(T_Eff,$K51)="תקוע","   ⛔ תקוע",""))</f>
        <v/>
      </c>
      <c r="C51" s="153">
        <f>IF($L51="","",INDEX(T_ID,$L51)&amp;"  ·  "&amp;INDEX(T_Task,$L51)&amp;CHAR(10)&amp;"👤 "&amp;INDEX(T_Owner,$L51)&amp;"   🎯 "&amp;IF(ISNUMBER(INDEX(T_Due,$L51)),TEXT(INDEX(T_Due,$L51),"dd/mm/yy"),"—")&amp;IF(INDEX(T_Prio,$L51)="גבוהה","   🔥","")&amp;IF(INDEX(T_Eff,$L51)="תקוע","   ⛔ תקוע",""))</f>
        <v/>
      </c>
      <c r="D51" s="153">
        <f>IF($M51="","",INDEX(T_ID,$M51)&amp;"  ·  "&amp;INDEX(T_Task,$M51)&amp;CHAR(10)&amp;"👤 "&amp;INDEX(T_Owner,$M51)&amp;"   🎯 "&amp;IF(ISNUMBER(INDEX(T_Due,$M51)),TEXT(INDEX(T_Due,$M51),"dd/mm/yy"),"—")&amp;IF(INDEX(T_Prio,$M51)="גבוהה","   🔥","")&amp;IF(INDEX(T_Eff,$M51)="תקוע","   ⛔ תקוע",""))</f>
        <v/>
      </c>
      <c r="E51" s="153">
        <f>IF($N51="","",INDEX(T_ID,$N51)&amp;"  ·  "&amp;INDEX(T_Task,$N51)&amp;CHAR(10)&amp;"👤 "&amp;INDEX(T_Owner,$N51)&amp;"   🎯 "&amp;IF(ISNUMBER(INDEX(T_Due,$N51)),TEXT(INDEX(T_Due,$N51),"dd/mm/yy"),"—")&amp;IF(INDEX(T_Prio,$N51)="גבוהה","   🔥","")&amp;IF(INDEX(T_Eff,$N51)="תקוע","   ⛔ תקוע",""))</f>
        <v/>
      </c>
      <c r="F51" s="153">
        <f>IF($O51="","",INDEX(T_ID,$O51)&amp;"  ·  "&amp;INDEX(T_Task,$O51)&amp;CHAR(10)&amp;"👤 "&amp;INDEX(T_Owner,$O51)&amp;"   🎯 "&amp;IF(ISNUMBER(INDEX(T_Due,$O51)),TEXT(INDEX(T_Due,$O51),"dd/mm/yy"),"—")&amp;IF(INDEX(T_Prio,$O51)="גבוהה","   🔥","")&amp;IF(INDEX(T_Eff,$O51)="תקוע","   ⛔ תקוע",""))</f>
        <v/>
      </c>
      <c r="G51" s="153">
        <f>IF($P51="","",INDEX(T_ID,$P51)&amp;"  ·  "&amp;INDEX(T_Task,$P51)&amp;CHAR(10)&amp;"👤 "&amp;INDEX(T_Owner,$P51)&amp;"   🎯 "&amp;IF(ISNUMBER(INDEX(T_Due,$P51)),TEXT(INDEX(T_Due,$P51),"dd/mm/yy"),"—")&amp;IF(INDEX(T_Prio,$P51)="גבוהה","   🔥","")&amp;IF(INDEX(T_Eff,$P51)="תקוע","   ⛔ תקוע",""))</f>
        <v/>
      </c>
      <c r="K51">
        <f>IFERROR(IF(SMALL(T_Kan,COUNTIF(T_Kan,"&lt;"&amp;1*100000)+46)&lt;2*100000,MATCH(SMALL(T_Kan,COUNTIF(T_Kan,"&lt;"&amp;1*100000)+46),T_Kan,0),""),"")</f>
        <v/>
      </c>
      <c r="L51">
        <f>IFERROR(IF(SMALL(T_Kan,COUNTIF(T_Kan,"&lt;"&amp;2*100000)+46)&lt;3*100000,MATCH(SMALL(T_Kan,COUNTIF(T_Kan,"&lt;"&amp;2*100000)+46),T_Kan,0),""),"")</f>
        <v/>
      </c>
      <c r="M51">
        <f>IFERROR(IF(SMALL(T_Kan,COUNTIF(T_Kan,"&lt;"&amp;3*100000)+46)&lt;4*100000,MATCH(SMALL(T_Kan,COUNTIF(T_Kan,"&lt;"&amp;3*100000)+46),T_Kan,0),""),"")</f>
        <v/>
      </c>
      <c r="N51">
        <f>IFERROR(IF(SMALL(T_Kan,COUNTIF(T_Kan,"&lt;"&amp;4*100000)+46)&lt;5*100000,MATCH(SMALL(T_Kan,COUNTIF(T_Kan,"&lt;"&amp;4*100000)+46),T_Kan,0),""),"")</f>
        <v/>
      </c>
      <c r="O51">
        <f>IFERROR(IF(SMALL(T_Kan,COUNTIF(T_Kan,"&lt;"&amp;5*100000)+46)&lt;6*100000,MATCH(SMALL(T_Kan,COUNTIF(T_Kan,"&lt;"&amp;5*100000)+46),T_Kan,0),""),"")</f>
        <v/>
      </c>
      <c r="P51">
        <f>IFERROR(IF(SMALL(T_Kan,COUNTIF(T_Kan,"&lt;"&amp;6*100000)+46)&lt;7*100000,MATCH(SMALL(T_Kan,COUNTIF(T_Kan,"&lt;"&amp;6*100000)+46),T_Kan,0),""),"")</f>
        <v/>
      </c>
    </row>
    <row r="52" ht="46" customHeight="1">
      <c r="B52" s="153">
        <f>IF($K52="","",INDEX(T_ID,$K52)&amp;"  ·  "&amp;INDEX(T_Task,$K52)&amp;CHAR(10)&amp;"👤 "&amp;INDEX(T_Owner,$K52)&amp;"   🎯 "&amp;IF(ISNUMBER(INDEX(T_Due,$K52)),TEXT(INDEX(T_Due,$K52),"dd/mm/yy"),"—")&amp;IF(INDEX(T_Prio,$K52)="גבוהה","   🔥","")&amp;IF(INDEX(T_Eff,$K52)="תקוע","   ⛔ תקוע",""))</f>
        <v/>
      </c>
      <c r="C52" s="153">
        <f>IF($L52="","",INDEX(T_ID,$L52)&amp;"  ·  "&amp;INDEX(T_Task,$L52)&amp;CHAR(10)&amp;"👤 "&amp;INDEX(T_Owner,$L52)&amp;"   🎯 "&amp;IF(ISNUMBER(INDEX(T_Due,$L52)),TEXT(INDEX(T_Due,$L52),"dd/mm/yy"),"—")&amp;IF(INDEX(T_Prio,$L52)="גבוהה","   🔥","")&amp;IF(INDEX(T_Eff,$L52)="תקוע","   ⛔ תקוע",""))</f>
        <v/>
      </c>
      <c r="D52" s="153">
        <f>IF($M52="","",INDEX(T_ID,$M52)&amp;"  ·  "&amp;INDEX(T_Task,$M52)&amp;CHAR(10)&amp;"👤 "&amp;INDEX(T_Owner,$M52)&amp;"   🎯 "&amp;IF(ISNUMBER(INDEX(T_Due,$M52)),TEXT(INDEX(T_Due,$M52),"dd/mm/yy"),"—")&amp;IF(INDEX(T_Prio,$M52)="גבוהה","   🔥","")&amp;IF(INDEX(T_Eff,$M52)="תקוע","   ⛔ תקוע",""))</f>
        <v/>
      </c>
      <c r="E52" s="153">
        <f>IF($N52="","",INDEX(T_ID,$N52)&amp;"  ·  "&amp;INDEX(T_Task,$N52)&amp;CHAR(10)&amp;"👤 "&amp;INDEX(T_Owner,$N52)&amp;"   🎯 "&amp;IF(ISNUMBER(INDEX(T_Due,$N52)),TEXT(INDEX(T_Due,$N52),"dd/mm/yy"),"—")&amp;IF(INDEX(T_Prio,$N52)="גבוהה","   🔥","")&amp;IF(INDEX(T_Eff,$N52)="תקוע","   ⛔ תקוע",""))</f>
        <v/>
      </c>
      <c r="F52" s="153">
        <f>IF($O52="","",INDEX(T_ID,$O52)&amp;"  ·  "&amp;INDEX(T_Task,$O52)&amp;CHAR(10)&amp;"👤 "&amp;INDEX(T_Owner,$O52)&amp;"   🎯 "&amp;IF(ISNUMBER(INDEX(T_Due,$O52)),TEXT(INDEX(T_Due,$O52),"dd/mm/yy"),"—")&amp;IF(INDEX(T_Prio,$O52)="גבוהה","   🔥","")&amp;IF(INDEX(T_Eff,$O52)="תקוע","   ⛔ תקוע",""))</f>
        <v/>
      </c>
      <c r="G52" s="153">
        <f>IF($P52="","",INDEX(T_ID,$P52)&amp;"  ·  "&amp;INDEX(T_Task,$P52)&amp;CHAR(10)&amp;"👤 "&amp;INDEX(T_Owner,$P52)&amp;"   🎯 "&amp;IF(ISNUMBER(INDEX(T_Due,$P52)),TEXT(INDEX(T_Due,$P52),"dd/mm/yy"),"—")&amp;IF(INDEX(T_Prio,$P52)="גבוהה","   🔥","")&amp;IF(INDEX(T_Eff,$P52)="תקוע","   ⛔ תקוע",""))</f>
        <v/>
      </c>
      <c r="K52">
        <f>IFERROR(IF(SMALL(T_Kan,COUNTIF(T_Kan,"&lt;"&amp;1*100000)+47)&lt;2*100000,MATCH(SMALL(T_Kan,COUNTIF(T_Kan,"&lt;"&amp;1*100000)+47),T_Kan,0),""),"")</f>
        <v/>
      </c>
      <c r="L52">
        <f>IFERROR(IF(SMALL(T_Kan,COUNTIF(T_Kan,"&lt;"&amp;2*100000)+47)&lt;3*100000,MATCH(SMALL(T_Kan,COUNTIF(T_Kan,"&lt;"&amp;2*100000)+47),T_Kan,0),""),"")</f>
        <v/>
      </c>
      <c r="M52">
        <f>IFERROR(IF(SMALL(T_Kan,COUNTIF(T_Kan,"&lt;"&amp;3*100000)+47)&lt;4*100000,MATCH(SMALL(T_Kan,COUNTIF(T_Kan,"&lt;"&amp;3*100000)+47),T_Kan,0),""),"")</f>
        <v/>
      </c>
      <c r="N52">
        <f>IFERROR(IF(SMALL(T_Kan,COUNTIF(T_Kan,"&lt;"&amp;4*100000)+47)&lt;5*100000,MATCH(SMALL(T_Kan,COUNTIF(T_Kan,"&lt;"&amp;4*100000)+47),T_Kan,0),""),"")</f>
        <v/>
      </c>
      <c r="O52">
        <f>IFERROR(IF(SMALL(T_Kan,COUNTIF(T_Kan,"&lt;"&amp;5*100000)+47)&lt;6*100000,MATCH(SMALL(T_Kan,COUNTIF(T_Kan,"&lt;"&amp;5*100000)+47),T_Kan,0),""),"")</f>
        <v/>
      </c>
      <c r="P52">
        <f>IFERROR(IF(SMALL(T_Kan,COUNTIF(T_Kan,"&lt;"&amp;6*100000)+47)&lt;7*100000,MATCH(SMALL(T_Kan,COUNTIF(T_Kan,"&lt;"&amp;6*100000)+47),T_Kan,0),""),"")</f>
        <v/>
      </c>
    </row>
    <row r="53" ht="46" customHeight="1">
      <c r="B53" s="153">
        <f>IF($K53="","",INDEX(T_ID,$K53)&amp;"  ·  "&amp;INDEX(T_Task,$K53)&amp;CHAR(10)&amp;"👤 "&amp;INDEX(T_Owner,$K53)&amp;"   🎯 "&amp;IF(ISNUMBER(INDEX(T_Due,$K53)),TEXT(INDEX(T_Due,$K53),"dd/mm/yy"),"—")&amp;IF(INDEX(T_Prio,$K53)="גבוהה","   🔥","")&amp;IF(INDEX(T_Eff,$K53)="תקוע","   ⛔ תקוע",""))</f>
        <v/>
      </c>
      <c r="C53" s="153">
        <f>IF($L53="","",INDEX(T_ID,$L53)&amp;"  ·  "&amp;INDEX(T_Task,$L53)&amp;CHAR(10)&amp;"👤 "&amp;INDEX(T_Owner,$L53)&amp;"   🎯 "&amp;IF(ISNUMBER(INDEX(T_Due,$L53)),TEXT(INDEX(T_Due,$L53),"dd/mm/yy"),"—")&amp;IF(INDEX(T_Prio,$L53)="גבוהה","   🔥","")&amp;IF(INDEX(T_Eff,$L53)="תקוע","   ⛔ תקוע",""))</f>
        <v/>
      </c>
      <c r="D53" s="153">
        <f>IF($M53="","",INDEX(T_ID,$M53)&amp;"  ·  "&amp;INDEX(T_Task,$M53)&amp;CHAR(10)&amp;"👤 "&amp;INDEX(T_Owner,$M53)&amp;"   🎯 "&amp;IF(ISNUMBER(INDEX(T_Due,$M53)),TEXT(INDEX(T_Due,$M53),"dd/mm/yy"),"—")&amp;IF(INDEX(T_Prio,$M53)="גבוהה","   🔥","")&amp;IF(INDEX(T_Eff,$M53)="תקוע","   ⛔ תקוע",""))</f>
        <v/>
      </c>
      <c r="E53" s="153">
        <f>IF($N53="","",INDEX(T_ID,$N53)&amp;"  ·  "&amp;INDEX(T_Task,$N53)&amp;CHAR(10)&amp;"👤 "&amp;INDEX(T_Owner,$N53)&amp;"   🎯 "&amp;IF(ISNUMBER(INDEX(T_Due,$N53)),TEXT(INDEX(T_Due,$N53),"dd/mm/yy"),"—")&amp;IF(INDEX(T_Prio,$N53)="גבוהה","   🔥","")&amp;IF(INDEX(T_Eff,$N53)="תקוע","   ⛔ תקוע",""))</f>
        <v/>
      </c>
      <c r="F53" s="153">
        <f>IF($O53="","",INDEX(T_ID,$O53)&amp;"  ·  "&amp;INDEX(T_Task,$O53)&amp;CHAR(10)&amp;"👤 "&amp;INDEX(T_Owner,$O53)&amp;"   🎯 "&amp;IF(ISNUMBER(INDEX(T_Due,$O53)),TEXT(INDEX(T_Due,$O53),"dd/mm/yy"),"—")&amp;IF(INDEX(T_Prio,$O53)="גבוהה","   🔥","")&amp;IF(INDEX(T_Eff,$O53)="תקוע","   ⛔ תקוע",""))</f>
        <v/>
      </c>
      <c r="G53" s="153">
        <f>IF($P53="","",INDEX(T_ID,$P53)&amp;"  ·  "&amp;INDEX(T_Task,$P53)&amp;CHAR(10)&amp;"👤 "&amp;INDEX(T_Owner,$P53)&amp;"   🎯 "&amp;IF(ISNUMBER(INDEX(T_Due,$P53)),TEXT(INDEX(T_Due,$P53),"dd/mm/yy"),"—")&amp;IF(INDEX(T_Prio,$P53)="גבוהה","   🔥","")&amp;IF(INDEX(T_Eff,$P53)="תקוע","   ⛔ תקוע",""))</f>
        <v/>
      </c>
      <c r="K53">
        <f>IFERROR(IF(SMALL(T_Kan,COUNTIF(T_Kan,"&lt;"&amp;1*100000)+48)&lt;2*100000,MATCH(SMALL(T_Kan,COUNTIF(T_Kan,"&lt;"&amp;1*100000)+48),T_Kan,0),""),"")</f>
        <v/>
      </c>
      <c r="L53">
        <f>IFERROR(IF(SMALL(T_Kan,COUNTIF(T_Kan,"&lt;"&amp;2*100000)+48)&lt;3*100000,MATCH(SMALL(T_Kan,COUNTIF(T_Kan,"&lt;"&amp;2*100000)+48),T_Kan,0),""),"")</f>
        <v/>
      </c>
      <c r="M53">
        <f>IFERROR(IF(SMALL(T_Kan,COUNTIF(T_Kan,"&lt;"&amp;3*100000)+48)&lt;4*100000,MATCH(SMALL(T_Kan,COUNTIF(T_Kan,"&lt;"&amp;3*100000)+48),T_Kan,0),""),"")</f>
        <v/>
      </c>
      <c r="N53">
        <f>IFERROR(IF(SMALL(T_Kan,COUNTIF(T_Kan,"&lt;"&amp;4*100000)+48)&lt;5*100000,MATCH(SMALL(T_Kan,COUNTIF(T_Kan,"&lt;"&amp;4*100000)+48),T_Kan,0),""),"")</f>
        <v/>
      </c>
      <c r="O53">
        <f>IFERROR(IF(SMALL(T_Kan,COUNTIF(T_Kan,"&lt;"&amp;5*100000)+48)&lt;6*100000,MATCH(SMALL(T_Kan,COUNTIF(T_Kan,"&lt;"&amp;5*100000)+48),T_Kan,0),""),"")</f>
        <v/>
      </c>
      <c r="P53">
        <f>IFERROR(IF(SMALL(T_Kan,COUNTIF(T_Kan,"&lt;"&amp;6*100000)+48)&lt;7*100000,MATCH(SMALL(T_Kan,COUNTIF(T_Kan,"&lt;"&amp;6*100000)+48),T_Kan,0),""),"")</f>
        <v/>
      </c>
    </row>
    <row r="54" ht="46" customHeight="1">
      <c r="B54" s="153">
        <f>IF($K54="","",INDEX(T_ID,$K54)&amp;"  ·  "&amp;INDEX(T_Task,$K54)&amp;CHAR(10)&amp;"👤 "&amp;INDEX(T_Owner,$K54)&amp;"   🎯 "&amp;IF(ISNUMBER(INDEX(T_Due,$K54)),TEXT(INDEX(T_Due,$K54),"dd/mm/yy"),"—")&amp;IF(INDEX(T_Prio,$K54)="גבוהה","   🔥","")&amp;IF(INDEX(T_Eff,$K54)="תקוע","   ⛔ תקוע",""))</f>
        <v/>
      </c>
      <c r="C54" s="153">
        <f>IF($L54="","",INDEX(T_ID,$L54)&amp;"  ·  "&amp;INDEX(T_Task,$L54)&amp;CHAR(10)&amp;"👤 "&amp;INDEX(T_Owner,$L54)&amp;"   🎯 "&amp;IF(ISNUMBER(INDEX(T_Due,$L54)),TEXT(INDEX(T_Due,$L54),"dd/mm/yy"),"—")&amp;IF(INDEX(T_Prio,$L54)="גבוהה","   🔥","")&amp;IF(INDEX(T_Eff,$L54)="תקוע","   ⛔ תקוע",""))</f>
        <v/>
      </c>
      <c r="D54" s="153">
        <f>IF($M54="","",INDEX(T_ID,$M54)&amp;"  ·  "&amp;INDEX(T_Task,$M54)&amp;CHAR(10)&amp;"👤 "&amp;INDEX(T_Owner,$M54)&amp;"   🎯 "&amp;IF(ISNUMBER(INDEX(T_Due,$M54)),TEXT(INDEX(T_Due,$M54),"dd/mm/yy"),"—")&amp;IF(INDEX(T_Prio,$M54)="גבוהה","   🔥","")&amp;IF(INDEX(T_Eff,$M54)="תקוע","   ⛔ תקוע",""))</f>
        <v/>
      </c>
      <c r="E54" s="153">
        <f>IF($N54="","",INDEX(T_ID,$N54)&amp;"  ·  "&amp;INDEX(T_Task,$N54)&amp;CHAR(10)&amp;"👤 "&amp;INDEX(T_Owner,$N54)&amp;"   🎯 "&amp;IF(ISNUMBER(INDEX(T_Due,$N54)),TEXT(INDEX(T_Due,$N54),"dd/mm/yy"),"—")&amp;IF(INDEX(T_Prio,$N54)="גבוהה","   🔥","")&amp;IF(INDEX(T_Eff,$N54)="תקוע","   ⛔ תקוע",""))</f>
        <v/>
      </c>
      <c r="F54" s="153">
        <f>IF($O54="","",INDEX(T_ID,$O54)&amp;"  ·  "&amp;INDEX(T_Task,$O54)&amp;CHAR(10)&amp;"👤 "&amp;INDEX(T_Owner,$O54)&amp;"   🎯 "&amp;IF(ISNUMBER(INDEX(T_Due,$O54)),TEXT(INDEX(T_Due,$O54),"dd/mm/yy"),"—")&amp;IF(INDEX(T_Prio,$O54)="גבוהה","   🔥","")&amp;IF(INDEX(T_Eff,$O54)="תקוע","   ⛔ תקוע",""))</f>
        <v/>
      </c>
      <c r="G54" s="153">
        <f>IF($P54="","",INDEX(T_ID,$P54)&amp;"  ·  "&amp;INDEX(T_Task,$P54)&amp;CHAR(10)&amp;"👤 "&amp;INDEX(T_Owner,$P54)&amp;"   🎯 "&amp;IF(ISNUMBER(INDEX(T_Due,$P54)),TEXT(INDEX(T_Due,$P54),"dd/mm/yy"),"—")&amp;IF(INDEX(T_Prio,$P54)="גבוהה","   🔥","")&amp;IF(INDEX(T_Eff,$P54)="תקוע","   ⛔ תקוע",""))</f>
        <v/>
      </c>
      <c r="K54">
        <f>IFERROR(IF(SMALL(T_Kan,COUNTIF(T_Kan,"&lt;"&amp;1*100000)+49)&lt;2*100000,MATCH(SMALL(T_Kan,COUNTIF(T_Kan,"&lt;"&amp;1*100000)+49),T_Kan,0),""),"")</f>
        <v/>
      </c>
      <c r="L54">
        <f>IFERROR(IF(SMALL(T_Kan,COUNTIF(T_Kan,"&lt;"&amp;2*100000)+49)&lt;3*100000,MATCH(SMALL(T_Kan,COUNTIF(T_Kan,"&lt;"&amp;2*100000)+49),T_Kan,0),""),"")</f>
        <v/>
      </c>
      <c r="M54">
        <f>IFERROR(IF(SMALL(T_Kan,COUNTIF(T_Kan,"&lt;"&amp;3*100000)+49)&lt;4*100000,MATCH(SMALL(T_Kan,COUNTIF(T_Kan,"&lt;"&amp;3*100000)+49),T_Kan,0),""),"")</f>
        <v/>
      </c>
      <c r="N54">
        <f>IFERROR(IF(SMALL(T_Kan,COUNTIF(T_Kan,"&lt;"&amp;4*100000)+49)&lt;5*100000,MATCH(SMALL(T_Kan,COUNTIF(T_Kan,"&lt;"&amp;4*100000)+49),T_Kan,0),""),"")</f>
        <v/>
      </c>
      <c r="O54">
        <f>IFERROR(IF(SMALL(T_Kan,COUNTIF(T_Kan,"&lt;"&amp;5*100000)+49)&lt;6*100000,MATCH(SMALL(T_Kan,COUNTIF(T_Kan,"&lt;"&amp;5*100000)+49),T_Kan,0),""),"")</f>
        <v/>
      </c>
      <c r="P54">
        <f>IFERROR(IF(SMALL(T_Kan,COUNTIF(T_Kan,"&lt;"&amp;6*100000)+49)&lt;7*100000,MATCH(SMALL(T_Kan,COUNTIF(T_Kan,"&lt;"&amp;6*100000)+49),T_Kan,0),""),"")</f>
        <v/>
      </c>
    </row>
    <row r="55" ht="46" customHeight="1">
      <c r="B55" s="153">
        <f>IF($K55="","",INDEX(T_ID,$K55)&amp;"  ·  "&amp;INDEX(T_Task,$K55)&amp;CHAR(10)&amp;"👤 "&amp;INDEX(T_Owner,$K55)&amp;"   🎯 "&amp;IF(ISNUMBER(INDEX(T_Due,$K55)),TEXT(INDEX(T_Due,$K55),"dd/mm/yy"),"—")&amp;IF(INDEX(T_Prio,$K55)="גבוהה","   🔥","")&amp;IF(INDEX(T_Eff,$K55)="תקוע","   ⛔ תקוע",""))</f>
        <v/>
      </c>
      <c r="C55" s="153">
        <f>IF($L55="","",INDEX(T_ID,$L55)&amp;"  ·  "&amp;INDEX(T_Task,$L55)&amp;CHAR(10)&amp;"👤 "&amp;INDEX(T_Owner,$L55)&amp;"   🎯 "&amp;IF(ISNUMBER(INDEX(T_Due,$L55)),TEXT(INDEX(T_Due,$L55),"dd/mm/yy"),"—")&amp;IF(INDEX(T_Prio,$L55)="גבוהה","   🔥","")&amp;IF(INDEX(T_Eff,$L55)="תקוע","   ⛔ תקוע",""))</f>
        <v/>
      </c>
      <c r="D55" s="153">
        <f>IF($M55="","",INDEX(T_ID,$M55)&amp;"  ·  "&amp;INDEX(T_Task,$M55)&amp;CHAR(10)&amp;"👤 "&amp;INDEX(T_Owner,$M55)&amp;"   🎯 "&amp;IF(ISNUMBER(INDEX(T_Due,$M55)),TEXT(INDEX(T_Due,$M55),"dd/mm/yy"),"—")&amp;IF(INDEX(T_Prio,$M55)="גבוהה","   🔥","")&amp;IF(INDEX(T_Eff,$M55)="תקוע","   ⛔ תקוע",""))</f>
        <v/>
      </c>
      <c r="E55" s="153">
        <f>IF($N55="","",INDEX(T_ID,$N55)&amp;"  ·  "&amp;INDEX(T_Task,$N55)&amp;CHAR(10)&amp;"👤 "&amp;INDEX(T_Owner,$N55)&amp;"   🎯 "&amp;IF(ISNUMBER(INDEX(T_Due,$N55)),TEXT(INDEX(T_Due,$N55),"dd/mm/yy"),"—")&amp;IF(INDEX(T_Prio,$N55)="גבוהה","   🔥","")&amp;IF(INDEX(T_Eff,$N55)="תקוע","   ⛔ תקוע",""))</f>
        <v/>
      </c>
      <c r="F55" s="153">
        <f>IF($O55="","",INDEX(T_ID,$O55)&amp;"  ·  "&amp;INDEX(T_Task,$O55)&amp;CHAR(10)&amp;"👤 "&amp;INDEX(T_Owner,$O55)&amp;"   🎯 "&amp;IF(ISNUMBER(INDEX(T_Due,$O55)),TEXT(INDEX(T_Due,$O55),"dd/mm/yy"),"—")&amp;IF(INDEX(T_Prio,$O55)="גבוהה","   🔥","")&amp;IF(INDEX(T_Eff,$O55)="תקוע","   ⛔ תקוע",""))</f>
        <v/>
      </c>
      <c r="G55" s="153">
        <f>IF($P55="","",INDEX(T_ID,$P55)&amp;"  ·  "&amp;INDEX(T_Task,$P55)&amp;CHAR(10)&amp;"👤 "&amp;INDEX(T_Owner,$P55)&amp;"   🎯 "&amp;IF(ISNUMBER(INDEX(T_Due,$P55)),TEXT(INDEX(T_Due,$P55),"dd/mm/yy"),"—")&amp;IF(INDEX(T_Prio,$P55)="גבוהה","   🔥","")&amp;IF(INDEX(T_Eff,$P55)="תקוע","   ⛔ תקוע",""))</f>
        <v/>
      </c>
      <c r="K55">
        <f>IFERROR(IF(SMALL(T_Kan,COUNTIF(T_Kan,"&lt;"&amp;1*100000)+50)&lt;2*100000,MATCH(SMALL(T_Kan,COUNTIF(T_Kan,"&lt;"&amp;1*100000)+50),T_Kan,0),""),"")</f>
        <v/>
      </c>
      <c r="L55">
        <f>IFERROR(IF(SMALL(T_Kan,COUNTIF(T_Kan,"&lt;"&amp;2*100000)+50)&lt;3*100000,MATCH(SMALL(T_Kan,COUNTIF(T_Kan,"&lt;"&amp;2*100000)+50),T_Kan,0),""),"")</f>
        <v/>
      </c>
      <c r="M55">
        <f>IFERROR(IF(SMALL(T_Kan,COUNTIF(T_Kan,"&lt;"&amp;3*100000)+50)&lt;4*100000,MATCH(SMALL(T_Kan,COUNTIF(T_Kan,"&lt;"&amp;3*100000)+50),T_Kan,0),""),"")</f>
        <v/>
      </c>
      <c r="N55">
        <f>IFERROR(IF(SMALL(T_Kan,COUNTIF(T_Kan,"&lt;"&amp;4*100000)+50)&lt;5*100000,MATCH(SMALL(T_Kan,COUNTIF(T_Kan,"&lt;"&amp;4*100000)+50),T_Kan,0),""),"")</f>
        <v/>
      </c>
      <c r="O55">
        <f>IFERROR(IF(SMALL(T_Kan,COUNTIF(T_Kan,"&lt;"&amp;5*100000)+50)&lt;6*100000,MATCH(SMALL(T_Kan,COUNTIF(T_Kan,"&lt;"&amp;5*100000)+50),T_Kan,0),""),"")</f>
        <v/>
      </c>
      <c r="P55">
        <f>IFERROR(IF(SMALL(T_Kan,COUNTIF(T_Kan,"&lt;"&amp;6*100000)+50)&lt;7*100000,MATCH(SMALL(T_Kan,COUNTIF(T_Kan,"&lt;"&amp;6*100000)+50),T_Kan,0),""),"")</f>
        <v/>
      </c>
    </row>
    <row r="56" ht="46" customHeight="1">
      <c r="B56" s="153">
        <f>IF($K56="","",INDEX(T_ID,$K56)&amp;"  ·  "&amp;INDEX(T_Task,$K56)&amp;CHAR(10)&amp;"👤 "&amp;INDEX(T_Owner,$K56)&amp;"   🎯 "&amp;IF(ISNUMBER(INDEX(T_Due,$K56)),TEXT(INDEX(T_Due,$K56),"dd/mm/yy"),"—")&amp;IF(INDEX(T_Prio,$K56)="גבוהה","   🔥","")&amp;IF(INDEX(T_Eff,$K56)="תקוע","   ⛔ תקוע",""))</f>
        <v/>
      </c>
      <c r="C56" s="153">
        <f>IF($L56="","",INDEX(T_ID,$L56)&amp;"  ·  "&amp;INDEX(T_Task,$L56)&amp;CHAR(10)&amp;"👤 "&amp;INDEX(T_Owner,$L56)&amp;"   🎯 "&amp;IF(ISNUMBER(INDEX(T_Due,$L56)),TEXT(INDEX(T_Due,$L56),"dd/mm/yy"),"—")&amp;IF(INDEX(T_Prio,$L56)="גבוהה","   🔥","")&amp;IF(INDEX(T_Eff,$L56)="תקוע","   ⛔ תקוע",""))</f>
        <v/>
      </c>
      <c r="D56" s="153">
        <f>IF($M56="","",INDEX(T_ID,$M56)&amp;"  ·  "&amp;INDEX(T_Task,$M56)&amp;CHAR(10)&amp;"👤 "&amp;INDEX(T_Owner,$M56)&amp;"   🎯 "&amp;IF(ISNUMBER(INDEX(T_Due,$M56)),TEXT(INDEX(T_Due,$M56),"dd/mm/yy"),"—")&amp;IF(INDEX(T_Prio,$M56)="גבוהה","   🔥","")&amp;IF(INDEX(T_Eff,$M56)="תקוע","   ⛔ תקוע",""))</f>
        <v/>
      </c>
      <c r="E56" s="153">
        <f>IF($N56="","",INDEX(T_ID,$N56)&amp;"  ·  "&amp;INDEX(T_Task,$N56)&amp;CHAR(10)&amp;"👤 "&amp;INDEX(T_Owner,$N56)&amp;"   🎯 "&amp;IF(ISNUMBER(INDEX(T_Due,$N56)),TEXT(INDEX(T_Due,$N56),"dd/mm/yy"),"—")&amp;IF(INDEX(T_Prio,$N56)="גבוהה","   🔥","")&amp;IF(INDEX(T_Eff,$N56)="תקוע","   ⛔ תקוע",""))</f>
        <v/>
      </c>
      <c r="F56" s="153">
        <f>IF($O56="","",INDEX(T_ID,$O56)&amp;"  ·  "&amp;INDEX(T_Task,$O56)&amp;CHAR(10)&amp;"👤 "&amp;INDEX(T_Owner,$O56)&amp;"   🎯 "&amp;IF(ISNUMBER(INDEX(T_Due,$O56)),TEXT(INDEX(T_Due,$O56),"dd/mm/yy"),"—")&amp;IF(INDEX(T_Prio,$O56)="גבוהה","   🔥","")&amp;IF(INDEX(T_Eff,$O56)="תקוע","   ⛔ תקוע",""))</f>
        <v/>
      </c>
      <c r="G56" s="153">
        <f>IF($P56="","",INDEX(T_ID,$P56)&amp;"  ·  "&amp;INDEX(T_Task,$P56)&amp;CHAR(10)&amp;"👤 "&amp;INDEX(T_Owner,$P56)&amp;"   🎯 "&amp;IF(ISNUMBER(INDEX(T_Due,$P56)),TEXT(INDEX(T_Due,$P56),"dd/mm/yy"),"—")&amp;IF(INDEX(T_Prio,$P56)="גבוהה","   🔥","")&amp;IF(INDEX(T_Eff,$P56)="תקוע","   ⛔ תקוע",""))</f>
        <v/>
      </c>
      <c r="K56">
        <f>IFERROR(IF(SMALL(T_Kan,COUNTIF(T_Kan,"&lt;"&amp;1*100000)+51)&lt;2*100000,MATCH(SMALL(T_Kan,COUNTIF(T_Kan,"&lt;"&amp;1*100000)+51),T_Kan,0),""),"")</f>
        <v/>
      </c>
      <c r="L56">
        <f>IFERROR(IF(SMALL(T_Kan,COUNTIF(T_Kan,"&lt;"&amp;2*100000)+51)&lt;3*100000,MATCH(SMALL(T_Kan,COUNTIF(T_Kan,"&lt;"&amp;2*100000)+51),T_Kan,0),""),"")</f>
        <v/>
      </c>
      <c r="M56">
        <f>IFERROR(IF(SMALL(T_Kan,COUNTIF(T_Kan,"&lt;"&amp;3*100000)+51)&lt;4*100000,MATCH(SMALL(T_Kan,COUNTIF(T_Kan,"&lt;"&amp;3*100000)+51),T_Kan,0),""),"")</f>
        <v/>
      </c>
      <c r="N56">
        <f>IFERROR(IF(SMALL(T_Kan,COUNTIF(T_Kan,"&lt;"&amp;4*100000)+51)&lt;5*100000,MATCH(SMALL(T_Kan,COUNTIF(T_Kan,"&lt;"&amp;4*100000)+51),T_Kan,0),""),"")</f>
        <v/>
      </c>
      <c r="O56">
        <f>IFERROR(IF(SMALL(T_Kan,COUNTIF(T_Kan,"&lt;"&amp;5*100000)+51)&lt;6*100000,MATCH(SMALL(T_Kan,COUNTIF(T_Kan,"&lt;"&amp;5*100000)+51),T_Kan,0),""),"")</f>
        <v/>
      </c>
      <c r="P56">
        <f>IFERROR(IF(SMALL(T_Kan,COUNTIF(T_Kan,"&lt;"&amp;6*100000)+51)&lt;7*100000,MATCH(SMALL(T_Kan,COUNTIF(T_Kan,"&lt;"&amp;6*100000)+51),T_Kan,0),""),"")</f>
        <v/>
      </c>
    </row>
    <row r="57" ht="46" customHeight="1">
      <c r="B57" s="153">
        <f>IF($K57="","",INDEX(T_ID,$K57)&amp;"  ·  "&amp;INDEX(T_Task,$K57)&amp;CHAR(10)&amp;"👤 "&amp;INDEX(T_Owner,$K57)&amp;"   🎯 "&amp;IF(ISNUMBER(INDEX(T_Due,$K57)),TEXT(INDEX(T_Due,$K57),"dd/mm/yy"),"—")&amp;IF(INDEX(T_Prio,$K57)="גבוהה","   🔥","")&amp;IF(INDEX(T_Eff,$K57)="תקוע","   ⛔ תקוע",""))</f>
        <v/>
      </c>
      <c r="C57" s="153">
        <f>IF($L57="","",INDEX(T_ID,$L57)&amp;"  ·  "&amp;INDEX(T_Task,$L57)&amp;CHAR(10)&amp;"👤 "&amp;INDEX(T_Owner,$L57)&amp;"   🎯 "&amp;IF(ISNUMBER(INDEX(T_Due,$L57)),TEXT(INDEX(T_Due,$L57),"dd/mm/yy"),"—")&amp;IF(INDEX(T_Prio,$L57)="גבוהה","   🔥","")&amp;IF(INDEX(T_Eff,$L57)="תקוע","   ⛔ תקוע",""))</f>
        <v/>
      </c>
      <c r="D57" s="153">
        <f>IF($M57="","",INDEX(T_ID,$M57)&amp;"  ·  "&amp;INDEX(T_Task,$M57)&amp;CHAR(10)&amp;"👤 "&amp;INDEX(T_Owner,$M57)&amp;"   🎯 "&amp;IF(ISNUMBER(INDEX(T_Due,$M57)),TEXT(INDEX(T_Due,$M57),"dd/mm/yy"),"—")&amp;IF(INDEX(T_Prio,$M57)="גבוהה","   🔥","")&amp;IF(INDEX(T_Eff,$M57)="תקוע","   ⛔ תקוע",""))</f>
        <v/>
      </c>
      <c r="E57" s="153">
        <f>IF($N57="","",INDEX(T_ID,$N57)&amp;"  ·  "&amp;INDEX(T_Task,$N57)&amp;CHAR(10)&amp;"👤 "&amp;INDEX(T_Owner,$N57)&amp;"   🎯 "&amp;IF(ISNUMBER(INDEX(T_Due,$N57)),TEXT(INDEX(T_Due,$N57),"dd/mm/yy"),"—")&amp;IF(INDEX(T_Prio,$N57)="גבוהה","   🔥","")&amp;IF(INDEX(T_Eff,$N57)="תקוע","   ⛔ תקוע",""))</f>
        <v/>
      </c>
      <c r="F57" s="153">
        <f>IF($O57="","",INDEX(T_ID,$O57)&amp;"  ·  "&amp;INDEX(T_Task,$O57)&amp;CHAR(10)&amp;"👤 "&amp;INDEX(T_Owner,$O57)&amp;"   🎯 "&amp;IF(ISNUMBER(INDEX(T_Due,$O57)),TEXT(INDEX(T_Due,$O57),"dd/mm/yy"),"—")&amp;IF(INDEX(T_Prio,$O57)="גבוהה","   🔥","")&amp;IF(INDEX(T_Eff,$O57)="תקוע","   ⛔ תקוע",""))</f>
        <v/>
      </c>
      <c r="G57" s="153">
        <f>IF($P57="","",INDEX(T_ID,$P57)&amp;"  ·  "&amp;INDEX(T_Task,$P57)&amp;CHAR(10)&amp;"👤 "&amp;INDEX(T_Owner,$P57)&amp;"   🎯 "&amp;IF(ISNUMBER(INDEX(T_Due,$P57)),TEXT(INDEX(T_Due,$P57),"dd/mm/yy"),"—")&amp;IF(INDEX(T_Prio,$P57)="גבוהה","   🔥","")&amp;IF(INDEX(T_Eff,$P57)="תקוע","   ⛔ תקוע",""))</f>
        <v/>
      </c>
      <c r="K57">
        <f>IFERROR(IF(SMALL(T_Kan,COUNTIF(T_Kan,"&lt;"&amp;1*100000)+52)&lt;2*100000,MATCH(SMALL(T_Kan,COUNTIF(T_Kan,"&lt;"&amp;1*100000)+52),T_Kan,0),""),"")</f>
        <v/>
      </c>
      <c r="L57">
        <f>IFERROR(IF(SMALL(T_Kan,COUNTIF(T_Kan,"&lt;"&amp;2*100000)+52)&lt;3*100000,MATCH(SMALL(T_Kan,COUNTIF(T_Kan,"&lt;"&amp;2*100000)+52),T_Kan,0),""),"")</f>
        <v/>
      </c>
      <c r="M57">
        <f>IFERROR(IF(SMALL(T_Kan,COUNTIF(T_Kan,"&lt;"&amp;3*100000)+52)&lt;4*100000,MATCH(SMALL(T_Kan,COUNTIF(T_Kan,"&lt;"&amp;3*100000)+52),T_Kan,0),""),"")</f>
        <v/>
      </c>
      <c r="N57">
        <f>IFERROR(IF(SMALL(T_Kan,COUNTIF(T_Kan,"&lt;"&amp;4*100000)+52)&lt;5*100000,MATCH(SMALL(T_Kan,COUNTIF(T_Kan,"&lt;"&amp;4*100000)+52),T_Kan,0),""),"")</f>
        <v/>
      </c>
      <c r="O57">
        <f>IFERROR(IF(SMALL(T_Kan,COUNTIF(T_Kan,"&lt;"&amp;5*100000)+52)&lt;6*100000,MATCH(SMALL(T_Kan,COUNTIF(T_Kan,"&lt;"&amp;5*100000)+52),T_Kan,0),""),"")</f>
        <v/>
      </c>
      <c r="P57">
        <f>IFERROR(IF(SMALL(T_Kan,COUNTIF(T_Kan,"&lt;"&amp;6*100000)+52)&lt;7*100000,MATCH(SMALL(T_Kan,COUNTIF(T_Kan,"&lt;"&amp;6*100000)+52),T_Kan,0),""),"")</f>
        <v/>
      </c>
    </row>
    <row r="58" ht="46" customHeight="1">
      <c r="B58" s="153">
        <f>IF($K58="","",INDEX(T_ID,$K58)&amp;"  ·  "&amp;INDEX(T_Task,$K58)&amp;CHAR(10)&amp;"👤 "&amp;INDEX(T_Owner,$K58)&amp;"   🎯 "&amp;IF(ISNUMBER(INDEX(T_Due,$K58)),TEXT(INDEX(T_Due,$K58),"dd/mm/yy"),"—")&amp;IF(INDEX(T_Prio,$K58)="גבוהה","   🔥","")&amp;IF(INDEX(T_Eff,$K58)="תקוע","   ⛔ תקוע",""))</f>
        <v/>
      </c>
      <c r="C58" s="153">
        <f>IF($L58="","",INDEX(T_ID,$L58)&amp;"  ·  "&amp;INDEX(T_Task,$L58)&amp;CHAR(10)&amp;"👤 "&amp;INDEX(T_Owner,$L58)&amp;"   🎯 "&amp;IF(ISNUMBER(INDEX(T_Due,$L58)),TEXT(INDEX(T_Due,$L58),"dd/mm/yy"),"—")&amp;IF(INDEX(T_Prio,$L58)="גבוהה","   🔥","")&amp;IF(INDEX(T_Eff,$L58)="תקוע","   ⛔ תקוע",""))</f>
        <v/>
      </c>
      <c r="D58" s="153">
        <f>IF($M58="","",INDEX(T_ID,$M58)&amp;"  ·  "&amp;INDEX(T_Task,$M58)&amp;CHAR(10)&amp;"👤 "&amp;INDEX(T_Owner,$M58)&amp;"   🎯 "&amp;IF(ISNUMBER(INDEX(T_Due,$M58)),TEXT(INDEX(T_Due,$M58),"dd/mm/yy"),"—")&amp;IF(INDEX(T_Prio,$M58)="גבוהה","   🔥","")&amp;IF(INDEX(T_Eff,$M58)="תקוע","   ⛔ תקוע",""))</f>
        <v/>
      </c>
      <c r="E58" s="153">
        <f>IF($N58="","",INDEX(T_ID,$N58)&amp;"  ·  "&amp;INDEX(T_Task,$N58)&amp;CHAR(10)&amp;"👤 "&amp;INDEX(T_Owner,$N58)&amp;"   🎯 "&amp;IF(ISNUMBER(INDEX(T_Due,$N58)),TEXT(INDEX(T_Due,$N58),"dd/mm/yy"),"—")&amp;IF(INDEX(T_Prio,$N58)="גבוהה","   🔥","")&amp;IF(INDEX(T_Eff,$N58)="תקוע","   ⛔ תקוע",""))</f>
        <v/>
      </c>
      <c r="F58" s="153">
        <f>IF($O58="","",INDEX(T_ID,$O58)&amp;"  ·  "&amp;INDEX(T_Task,$O58)&amp;CHAR(10)&amp;"👤 "&amp;INDEX(T_Owner,$O58)&amp;"   🎯 "&amp;IF(ISNUMBER(INDEX(T_Due,$O58)),TEXT(INDEX(T_Due,$O58),"dd/mm/yy"),"—")&amp;IF(INDEX(T_Prio,$O58)="גבוהה","   🔥","")&amp;IF(INDEX(T_Eff,$O58)="תקוע","   ⛔ תקוע",""))</f>
        <v/>
      </c>
      <c r="G58" s="153">
        <f>IF($P58="","",INDEX(T_ID,$P58)&amp;"  ·  "&amp;INDEX(T_Task,$P58)&amp;CHAR(10)&amp;"👤 "&amp;INDEX(T_Owner,$P58)&amp;"   🎯 "&amp;IF(ISNUMBER(INDEX(T_Due,$P58)),TEXT(INDEX(T_Due,$P58),"dd/mm/yy"),"—")&amp;IF(INDEX(T_Prio,$P58)="גבוהה","   🔥","")&amp;IF(INDEX(T_Eff,$P58)="תקוע","   ⛔ תקוע",""))</f>
        <v/>
      </c>
      <c r="K58">
        <f>IFERROR(IF(SMALL(T_Kan,COUNTIF(T_Kan,"&lt;"&amp;1*100000)+53)&lt;2*100000,MATCH(SMALL(T_Kan,COUNTIF(T_Kan,"&lt;"&amp;1*100000)+53),T_Kan,0),""),"")</f>
        <v/>
      </c>
      <c r="L58">
        <f>IFERROR(IF(SMALL(T_Kan,COUNTIF(T_Kan,"&lt;"&amp;2*100000)+53)&lt;3*100000,MATCH(SMALL(T_Kan,COUNTIF(T_Kan,"&lt;"&amp;2*100000)+53),T_Kan,0),""),"")</f>
        <v/>
      </c>
      <c r="M58">
        <f>IFERROR(IF(SMALL(T_Kan,COUNTIF(T_Kan,"&lt;"&amp;3*100000)+53)&lt;4*100000,MATCH(SMALL(T_Kan,COUNTIF(T_Kan,"&lt;"&amp;3*100000)+53),T_Kan,0),""),"")</f>
        <v/>
      </c>
      <c r="N58">
        <f>IFERROR(IF(SMALL(T_Kan,COUNTIF(T_Kan,"&lt;"&amp;4*100000)+53)&lt;5*100000,MATCH(SMALL(T_Kan,COUNTIF(T_Kan,"&lt;"&amp;4*100000)+53),T_Kan,0),""),"")</f>
        <v/>
      </c>
      <c r="O58">
        <f>IFERROR(IF(SMALL(T_Kan,COUNTIF(T_Kan,"&lt;"&amp;5*100000)+53)&lt;6*100000,MATCH(SMALL(T_Kan,COUNTIF(T_Kan,"&lt;"&amp;5*100000)+53),T_Kan,0),""),"")</f>
        <v/>
      </c>
      <c r="P58">
        <f>IFERROR(IF(SMALL(T_Kan,COUNTIF(T_Kan,"&lt;"&amp;6*100000)+53)&lt;7*100000,MATCH(SMALL(T_Kan,COUNTIF(T_Kan,"&lt;"&amp;6*100000)+53),T_Kan,0),""),"")</f>
        <v/>
      </c>
    </row>
    <row r="59" ht="46" customHeight="1">
      <c r="B59" s="153">
        <f>IF($K59="","",INDEX(T_ID,$K59)&amp;"  ·  "&amp;INDEX(T_Task,$K59)&amp;CHAR(10)&amp;"👤 "&amp;INDEX(T_Owner,$K59)&amp;"   🎯 "&amp;IF(ISNUMBER(INDEX(T_Due,$K59)),TEXT(INDEX(T_Due,$K59),"dd/mm/yy"),"—")&amp;IF(INDEX(T_Prio,$K59)="גבוהה","   🔥","")&amp;IF(INDEX(T_Eff,$K59)="תקוע","   ⛔ תקוע",""))</f>
        <v/>
      </c>
      <c r="C59" s="153">
        <f>IF($L59="","",INDEX(T_ID,$L59)&amp;"  ·  "&amp;INDEX(T_Task,$L59)&amp;CHAR(10)&amp;"👤 "&amp;INDEX(T_Owner,$L59)&amp;"   🎯 "&amp;IF(ISNUMBER(INDEX(T_Due,$L59)),TEXT(INDEX(T_Due,$L59),"dd/mm/yy"),"—")&amp;IF(INDEX(T_Prio,$L59)="גבוהה","   🔥","")&amp;IF(INDEX(T_Eff,$L59)="תקוע","   ⛔ תקוע",""))</f>
        <v/>
      </c>
      <c r="D59" s="153">
        <f>IF($M59="","",INDEX(T_ID,$M59)&amp;"  ·  "&amp;INDEX(T_Task,$M59)&amp;CHAR(10)&amp;"👤 "&amp;INDEX(T_Owner,$M59)&amp;"   🎯 "&amp;IF(ISNUMBER(INDEX(T_Due,$M59)),TEXT(INDEX(T_Due,$M59),"dd/mm/yy"),"—")&amp;IF(INDEX(T_Prio,$M59)="גבוהה","   🔥","")&amp;IF(INDEX(T_Eff,$M59)="תקוע","   ⛔ תקוע",""))</f>
        <v/>
      </c>
      <c r="E59" s="153">
        <f>IF($N59="","",INDEX(T_ID,$N59)&amp;"  ·  "&amp;INDEX(T_Task,$N59)&amp;CHAR(10)&amp;"👤 "&amp;INDEX(T_Owner,$N59)&amp;"   🎯 "&amp;IF(ISNUMBER(INDEX(T_Due,$N59)),TEXT(INDEX(T_Due,$N59),"dd/mm/yy"),"—")&amp;IF(INDEX(T_Prio,$N59)="גבוהה","   🔥","")&amp;IF(INDEX(T_Eff,$N59)="תקוע","   ⛔ תקוע",""))</f>
        <v/>
      </c>
      <c r="F59" s="153">
        <f>IF($O59="","",INDEX(T_ID,$O59)&amp;"  ·  "&amp;INDEX(T_Task,$O59)&amp;CHAR(10)&amp;"👤 "&amp;INDEX(T_Owner,$O59)&amp;"   🎯 "&amp;IF(ISNUMBER(INDEX(T_Due,$O59)),TEXT(INDEX(T_Due,$O59),"dd/mm/yy"),"—")&amp;IF(INDEX(T_Prio,$O59)="גבוהה","   🔥","")&amp;IF(INDEX(T_Eff,$O59)="תקוע","   ⛔ תקוע",""))</f>
        <v/>
      </c>
      <c r="G59" s="153">
        <f>IF($P59="","",INDEX(T_ID,$P59)&amp;"  ·  "&amp;INDEX(T_Task,$P59)&amp;CHAR(10)&amp;"👤 "&amp;INDEX(T_Owner,$P59)&amp;"   🎯 "&amp;IF(ISNUMBER(INDEX(T_Due,$P59)),TEXT(INDEX(T_Due,$P59),"dd/mm/yy"),"—")&amp;IF(INDEX(T_Prio,$P59)="גבוהה","   🔥","")&amp;IF(INDEX(T_Eff,$P59)="תקוע","   ⛔ תקוע",""))</f>
        <v/>
      </c>
      <c r="K59">
        <f>IFERROR(IF(SMALL(T_Kan,COUNTIF(T_Kan,"&lt;"&amp;1*100000)+54)&lt;2*100000,MATCH(SMALL(T_Kan,COUNTIF(T_Kan,"&lt;"&amp;1*100000)+54),T_Kan,0),""),"")</f>
        <v/>
      </c>
      <c r="L59">
        <f>IFERROR(IF(SMALL(T_Kan,COUNTIF(T_Kan,"&lt;"&amp;2*100000)+54)&lt;3*100000,MATCH(SMALL(T_Kan,COUNTIF(T_Kan,"&lt;"&amp;2*100000)+54),T_Kan,0),""),"")</f>
        <v/>
      </c>
      <c r="M59">
        <f>IFERROR(IF(SMALL(T_Kan,COUNTIF(T_Kan,"&lt;"&amp;3*100000)+54)&lt;4*100000,MATCH(SMALL(T_Kan,COUNTIF(T_Kan,"&lt;"&amp;3*100000)+54),T_Kan,0),""),"")</f>
        <v/>
      </c>
      <c r="N59">
        <f>IFERROR(IF(SMALL(T_Kan,COUNTIF(T_Kan,"&lt;"&amp;4*100000)+54)&lt;5*100000,MATCH(SMALL(T_Kan,COUNTIF(T_Kan,"&lt;"&amp;4*100000)+54),T_Kan,0),""),"")</f>
        <v/>
      </c>
      <c r="O59">
        <f>IFERROR(IF(SMALL(T_Kan,COUNTIF(T_Kan,"&lt;"&amp;5*100000)+54)&lt;6*100000,MATCH(SMALL(T_Kan,COUNTIF(T_Kan,"&lt;"&amp;5*100000)+54),T_Kan,0),""),"")</f>
        <v/>
      </c>
      <c r="P59">
        <f>IFERROR(IF(SMALL(T_Kan,COUNTIF(T_Kan,"&lt;"&amp;6*100000)+54)&lt;7*100000,MATCH(SMALL(T_Kan,COUNTIF(T_Kan,"&lt;"&amp;6*100000)+54),T_Kan,0),""),"")</f>
        <v/>
      </c>
    </row>
    <row r="60" ht="46" customHeight="1">
      <c r="B60" s="153">
        <f>IF($K60="","",INDEX(T_ID,$K60)&amp;"  ·  "&amp;INDEX(T_Task,$K60)&amp;CHAR(10)&amp;"👤 "&amp;INDEX(T_Owner,$K60)&amp;"   🎯 "&amp;IF(ISNUMBER(INDEX(T_Due,$K60)),TEXT(INDEX(T_Due,$K60),"dd/mm/yy"),"—")&amp;IF(INDEX(T_Prio,$K60)="גבוהה","   🔥","")&amp;IF(INDEX(T_Eff,$K60)="תקוע","   ⛔ תקוע",""))</f>
        <v/>
      </c>
      <c r="C60" s="153">
        <f>IF($L60="","",INDEX(T_ID,$L60)&amp;"  ·  "&amp;INDEX(T_Task,$L60)&amp;CHAR(10)&amp;"👤 "&amp;INDEX(T_Owner,$L60)&amp;"   🎯 "&amp;IF(ISNUMBER(INDEX(T_Due,$L60)),TEXT(INDEX(T_Due,$L60),"dd/mm/yy"),"—")&amp;IF(INDEX(T_Prio,$L60)="גבוהה","   🔥","")&amp;IF(INDEX(T_Eff,$L60)="תקוע","   ⛔ תקוע",""))</f>
        <v/>
      </c>
      <c r="D60" s="153">
        <f>IF($M60="","",INDEX(T_ID,$M60)&amp;"  ·  "&amp;INDEX(T_Task,$M60)&amp;CHAR(10)&amp;"👤 "&amp;INDEX(T_Owner,$M60)&amp;"   🎯 "&amp;IF(ISNUMBER(INDEX(T_Due,$M60)),TEXT(INDEX(T_Due,$M60),"dd/mm/yy"),"—")&amp;IF(INDEX(T_Prio,$M60)="גבוהה","   🔥","")&amp;IF(INDEX(T_Eff,$M60)="תקוע","   ⛔ תקוע",""))</f>
        <v/>
      </c>
      <c r="E60" s="153">
        <f>IF($N60="","",INDEX(T_ID,$N60)&amp;"  ·  "&amp;INDEX(T_Task,$N60)&amp;CHAR(10)&amp;"👤 "&amp;INDEX(T_Owner,$N60)&amp;"   🎯 "&amp;IF(ISNUMBER(INDEX(T_Due,$N60)),TEXT(INDEX(T_Due,$N60),"dd/mm/yy"),"—")&amp;IF(INDEX(T_Prio,$N60)="גבוהה","   🔥","")&amp;IF(INDEX(T_Eff,$N60)="תקוע","   ⛔ תקוע",""))</f>
        <v/>
      </c>
      <c r="F60" s="153">
        <f>IF($O60="","",INDEX(T_ID,$O60)&amp;"  ·  "&amp;INDEX(T_Task,$O60)&amp;CHAR(10)&amp;"👤 "&amp;INDEX(T_Owner,$O60)&amp;"   🎯 "&amp;IF(ISNUMBER(INDEX(T_Due,$O60)),TEXT(INDEX(T_Due,$O60),"dd/mm/yy"),"—")&amp;IF(INDEX(T_Prio,$O60)="גבוהה","   🔥","")&amp;IF(INDEX(T_Eff,$O60)="תקוע","   ⛔ תקוע",""))</f>
        <v/>
      </c>
      <c r="G60" s="153">
        <f>IF($P60="","",INDEX(T_ID,$P60)&amp;"  ·  "&amp;INDEX(T_Task,$P60)&amp;CHAR(10)&amp;"👤 "&amp;INDEX(T_Owner,$P60)&amp;"   🎯 "&amp;IF(ISNUMBER(INDEX(T_Due,$P60)),TEXT(INDEX(T_Due,$P60),"dd/mm/yy"),"—")&amp;IF(INDEX(T_Prio,$P60)="גבוהה","   🔥","")&amp;IF(INDEX(T_Eff,$P60)="תקוע","   ⛔ תקוע",""))</f>
        <v/>
      </c>
      <c r="K60">
        <f>IFERROR(IF(SMALL(T_Kan,COUNTIF(T_Kan,"&lt;"&amp;1*100000)+55)&lt;2*100000,MATCH(SMALL(T_Kan,COUNTIF(T_Kan,"&lt;"&amp;1*100000)+55),T_Kan,0),""),"")</f>
        <v/>
      </c>
      <c r="L60">
        <f>IFERROR(IF(SMALL(T_Kan,COUNTIF(T_Kan,"&lt;"&amp;2*100000)+55)&lt;3*100000,MATCH(SMALL(T_Kan,COUNTIF(T_Kan,"&lt;"&amp;2*100000)+55),T_Kan,0),""),"")</f>
        <v/>
      </c>
      <c r="M60">
        <f>IFERROR(IF(SMALL(T_Kan,COUNTIF(T_Kan,"&lt;"&amp;3*100000)+55)&lt;4*100000,MATCH(SMALL(T_Kan,COUNTIF(T_Kan,"&lt;"&amp;3*100000)+55),T_Kan,0),""),"")</f>
        <v/>
      </c>
      <c r="N60">
        <f>IFERROR(IF(SMALL(T_Kan,COUNTIF(T_Kan,"&lt;"&amp;4*100000)+55)&lt;5*100000,MATCH(SMALL(T_Kan,COUNTIF(T_Kan,"&lt;"&amp;4*100000)+55),T_Kan,0),""),"")</f>
        <v/>
      </c>
      <c r="O60">
        <f>IFERROR(IF(SMALL(T_Kan,COUNTIF(T_Kan,"&lt;"&amp;5*100000)+55)&lt;6*100000,MATCH(SMALL(T_Kan,COUNTIF(T_Kan,"&lt;"&amp;5*100000)+55),T_Kan,0),""),"")</f>
        <v/>
      </c>
      <c r="P60">
        <f>IFERROR(IF(SMALL(T_Kan,COUNTIF(T_Kan,"&lt;"&amp;6*100000)+55)&lt;7*100000,MATCH(SMALL(T_Kan,COUNTIF(T_Kan,"&lt;"&amp;6*100000)+55),T_Kan,0),""),"")</f>
        <v/>
      </c>
    </row>
    <row r="61" ht="46" customHeight="1">
      <c r="B61" s="153">
        <f>IF($K61="","",INDEX(T_ID,$K61)&amp;"  ·  "&amp;INDEX(T_Task,$K61)&amp;CHAR(10)&amp;"👤 "&amp;INDEX(T_Owner,$K61)&amp;"   🎯 "&amp;IF(ISNUMBER(INDEX(T_Due,$K61)),TEXT(INDEX(T_Due,$K61),"dd/mm/yy"),"—")&amp;IF(INDEX(T_Prio,$K61)="גבוהה","   🔥","")&amp;IF(INDEX(T_Eff,$K61)="תקוע","   ⛔ תקוע",""))</f>
        <v/>
      </c>
      <c r="C61" s="153">
        <f>IF($L61="","",INDEX(T_ID,$L61)&amp;"  ·  "&amp;INDEX(T_Task,$L61)&amp;CHAR(10)&amp;"👤 "&amp;INDEX(T_Owner,$L61)&amp;"   🎯 "&amp;IF(ISNUMBER(INDEX(T_Due,$L61)),TEXT(INDEX(T_Due,$L61),"dd/mm/yy"),"—")&amp;IF(INDEX(T_Prio,$L61)="גבוהה","   🔥","")&amp;IF(INDEX(T_Eff,$L61)="תקוע","   ⛔ תקוע",""))</f>
        <v/>
      </c>
      <c r="D61" s="153">
        <f>IF($M61="","",INDEX(T_ID,$M61)&amp;"  ·  "&amp;INDEX(T_Task,$M61)&amp;CHAR(10)&amp;"👤 "&amp;INDEX(T_Owner,$M61)&amp;"   🎯 "&amp;IF(ISNUMBER(INDEX(T_Due,$M61)),TEXT(INDEX(T_Due,$M61),"dd/mm/yy"),"—")&amp;IF(INDEX(T_Prio,$M61)="גבוהה","   🔥","")&amp;IF(INDEX(T_Eff,$M61)="תקוע","   ⛔ תקוע",""))</f>
        <v/>
      </c>
      <c r="E61" s="153">
        <f>IF($N61="","",INDEX(T_ID,$N61)&amp;"  ·  "&amp;INDEX(T_Task,$N61)&amp;CHAR(10)&amp;"👤 "&amp;INDEX(T_Owner,$N61)&amp;"   🎯 "&amp;IF(ISNUMBER(INDEX(T_Due,$N61)),TEXT(INDEX(T_Due,$N61),"dd/mm/yy"),"—")&amp;IF(INDEX(T_Prio,$N61)="גבוהה","   🔥","")&amp;IF(INDEX(T_Eff,$N61)="תקוע","   ⛔ תקוע",""))</f>
        <v/>
      </c>
      <c r="F61" s="153">
        <f>IF($O61="","",INDEX(T_ID,$O61)&amp;"  ·  "&amp;INDEX(T_Task,$O61)&amp;CHAR(10)&amp;"👤 "&amp;INDEX(T_Owner,$O61)&amp;"   🎯 "&amp;IF(ISNUMBER(INDEX(T_Due,$O61)),TEXT(INDEX(T_Due,$O61),"dd/mm/yy"),"—")&amp;IF(INDEX(T_Prio,$O61)="גבוהה","   🔥","")&amp;IF(INDEX(T_Eff,$O61)="תקוע","   ⛔ תקוע",""))</f>
        <v/>
      </c>
      <c r="G61" s="153">
        <f>IF($P61="","",INDEX(T_ID,$P61)&amp;"  ·  "&amp;INDEX(T_Task,$P61)&amp;CHAR(10)&amp;"👤 "&amp;INDEX(T_Owner,$P61)&amp;"   🎯 "&amp;IF(ISNUMBER(INDEX(T_Due,$P61)),TEXT(INDEX(T_Due,$P61),"dd/mm/yy"),"—")&amp;IF(INDEX(T_Prio,$P61)="גבוהה","   🔥","")&amp;IF(INDEX(T_Eff,$P61)="תקוע","   ⛔ תקוע",""))</f>
        <v/>
      </c>
      <c r="K61">
        <f>IFERROR(IF(SMALL(T_Kan,COUNTIF(T_Kan,"&lt;"&amp;1*100000)+56)&lt;2*100000,MATCH(SMALL(T_Kan,COUNTIF(T_Kan,"&lt;"&amp;1*100000)+56),T_Kan,0),""),"")</f>
        <v/>
      </c>
      <c r="L61">
        <f>IFERROR(IF(SMALL(T_Kan,COUNTIF(T_Kan,"&lt;"&amp;2*100000)+56)&lt;3*100000,MATCH(SMALL(T_Kan,COUNTIF(T_Kan,"&lt;"&amp;2*100000)+56),T_Kan,0),""),"")</f>
        <v/>
      </c>
      <c r="M61">
        <f>IFERROR(IF(SMALL(T_Kan,COUNTIF(T_Kan,"&lt;"&amp;3*100000)+56)&lt;4*100000,MATCH(SMALL(T_Kan,COUNTIF(T_Kan,"&lt;"&amp;3*100000)+56),T_Kan,0),""),"")</f>
        <v/>
      </c>
      <c r="N61">
        <f>IFERROR(IF(SMALL(T_Kan,COUNTIF(T_Kan,"&lt;"&amp;4*100000)+56)&lt;5*100000,MATCH(SMALL(T_Kan,COUNTIF(T_Kan,"&lt;"&amp;4*100000)+56),T_Kan,0),""),"")</f>
        <v/>
      </c>
      <c r="O61">
        <f>IFERROR(IF(SMALL(T_Kan,COUNTIF(T_Kan,"&lt;"&amp;5*100000)+56)&lt;6*100000,MATCH(SMALL(T_Kan,COUNTIF(T_Kan,"&lt;"&amp;5*100000)+56),T_Kan,0),""),"")</f>
        <v/>
      </c>
      <c r="P61">
        <f>IFERROR(IF(SMALL(T_Kan,COUNTIF(T_Kan,"&lt;"&amp;6*100000)+56)&lt;7*100000,MATCH(SMALL(T_Kan,COUNTIF(T_Kan,"&lt;"&amp;6*100000)+56),T_Kan,0),""),"")</f>
        <v/>
      </c>
    </row>
    <row r="62" ht="46" customHeight="1">
      <c r="B62" s="153">
        <f>IF($K62="","",INDEX(T_ID,$K62)&amp;"  ·  "&amp;INDEX(T_Task,$K62)&amp;CHAR(10)&amp;"👤 "&amp;INDEX(T_Owner,$K62)&amp;"   🎯 "&amp;IF(ISNUMBER(INDEX(T_Due,$K62)),TEXT(INDEX(T_Due,$K62),"dd/mm/yy"),"—")&amp;IF(INDEX(T_Prio,$K62)="גבוהה","   🔥","")&amp;IF(INDEX(T_Eff,$K62)="תקוע","   ⛔ תקוע",""))</f>
        <v/>
      </c>
      <c r="C62" s="153">
        <f>IF($L62="","",INDEX(T_ID,$L62)&amp;"  ·  "&amp;INDEX(T_Task,$L62)&amp;CHAR(10)&amp;"👤 "&amp;INDEX(T_Owner,$L62)&amp;"   🎯 "&amp;IF(ISNUMBER(INDEX(T_Due,$L62)),TEXT(INDEX(T_Due,$L62),"dd/mm/yy"),"—")&amp;IF(INDEX(T_Prio,$L62)="גבוהה","   🔥","")&amp;IF(INDEX(T_Eff,$L62)="תקוע","   ⛔ תקוע",""))</f>
        <v/>
      </c>
      <c r="D62" s="153">
        <f>IF($M62="","",INDEX(T_ID,$M62)&amp;"  ·  "&amp;INDEX(T_Task,$M62)&amp;CHAR(10)&amp;"👤 "&amp;INDEX(T_Owner,$M62)&amp;"   🎯 "&amp;IF(ISNUMBER(INDEX(T_Due,$M62)),TEXT(INDEX(T_Due,$M62),"dd/mm/yy"),"—")&amp;IF(INDEX(T_Prio,$M62)="גבוהה","   🔥","")&amp;IF(INDEX(T_Eff,$M62)="תקוע","   ⛔ תקוע",""))</f>
        <v/>
      </c>
      <c r="E62" s="153">
        <f>IF($N62="","",INDEX(T_ID,$N62)&amp;"  ·  "&amp;INDEX(T_Task,$N62)&amp;CHAR(10)&amp;"👤 "&amp;INDEX(T_Owner,$N62)&amp;"   🎯 "&amp;IF(ISNUMBER(INDEX(T_Due,$N62)),TEXT(INDEX(T_Due,$N62),"dd/mm/yy"),"—")&amp;IF(INDEX(T_Prio,$N62)="גבוהה","   🔥","")&amp;IF(INDEX(T_Eff,$N62)="תקוע","   ⛔ תקוע",""))</f>
        <v/>
      </c>
      <c r="F62" s="153">
        <f>IF($O62="","",INDEX(T_ID,$O62)&amp;"  ·  "&amp;INDEX(T_Task,$O62)&amp;CHAR(10)&amp;"👤 "&amp;INDEX(T_Owner,$O62)&amp;"   🎯 "&amp;IF(ISNUMBER(INDEX(T_Due,$O62)),TEXT(INDEX(T_Due,$O62),"dd/mm/yy"),"—")&amp;IF(INDEX(T_Prio,$O62)="גבוהה","   🔥","")&amp;IF(INDEX(T_Eff,$O62)="תקוע","   ⛔ תקוע",""))</f>
        <v/>
      </c>
      <c r="G62" s="153">
        <f>IF($P62="","",INDEX(T_ID,$P62)&amp;"  ·  "&amp;INDEX(T_Task,$P62)&amp;CHAR(10)&amp;"👤 "&amp;INDEX(T_Owner,$P62)&amp;"   🎯 "&amp;IF(ISNUMBER(INDEX(T_Due,$P62)),TEXT(INDEX(T_Due,$P62),"dd/mm/yy"),"—")&amp;IF(INDEX(T_Prio,$P62)="גבוהה","   🔥","")&amp;IF(INDEX(T_Eff,$P62)="תקוע","   ⛔ תקוע",""))</f>
        <v/>
      </c>
      <c r="K62">
        <f>IFERROR(IF(SMALL(T_Kan,COUNTIF(T_Kan,"&lt;"&amp;1*100000)+57)&lt;2*100000,MATCH(SMALL(T_Kan,COUNTIF(T_Kan,"&lt;"&amp;1*100000)+57),T_Kan,0),""),"")</f>
        <v/>
      </c>
      <c r="L62">
        <f>IFERROR(IF(SMALL(T_Kan,COUNTIF(T_Kan,"&lt;"&amp;2*100000)+57)&lt;3*100000,MATCH(SMALL(T_Kan,COUNTIF(T_Kan,"&lt;"&amp;2*100000)+57),T_Kan,0),""),"")</f>
        <v/>
      </c>
      <c r="M62">
        <f>IFERROR(IF(SMALL(T_Kan,COUNTIF(T_Kan,"&lt;"&amp;3*100000)+57)&lt;4*100000,MATCH(SMALL(T_Kan,COUNTIF(T_Kan,"&lt;"&amp;3*100000)+57),T_Kan,0),""),"")</f>
        <v/>
      </c>
      <c r="N62">
        <f>IFERROR(IF(SMALL(T_Kan,COUNTIF(T_Kan,"&lt;"&amp;4*100000)+57)&lt;5*100000,MATCH(SMALL(T_Kan,COUNTIF(T_Kan,"&lt;"&amp;4*100000)+57),T_Kan,0),""),"")</f>
        <v/>
      </c>
      <c r="O62">
        <f>IFERROR(IF(SMALL(T_Kan,COUNTIF(T_Kan,"&lt;"&amp;5*100000)+57)&lt;6*100000,MATCH(SMALL(T_Kan,COUNTIF(T_Kan,"&lt;"&amp;5*100000)+57),T_Kan,0),""),"")</f>
        <v/>
      </c>
      <c r="P62">
        <f>IFERROR(IF(SMALL(T_Kan,COUNTIF(T_Kan,"&lt;"&amp;6*100000)+57)&lt;7*100000,MATCH(SMALL(T_Kan,COUNTIF(T_Kan,"&lt;"&amp;6*100000)+57),T_Kan,0),""),"")</f>
        <v/>
      </c>
    </row>
    <row r="63" ht="46" customHeight="1">
      <c r="B63" s="153">
        <f>IF($K63="","",INDEX(T_ID,$K63)&amp;"  ·  "&amp;INDEX(T_Task,$K63)&amp;CHAR(10)&amp;"👤 "&amp;INDEX(T_Owner,$K63)&amp;"   🎯 "&amp;IF(ISNUMBER(INDEX(T_Due,$K63)),TEXT(INDEX(T_Due,$K63),"dd/mm/yy"),"—")&amp;IF(INDEX(T_Prio,$K63)="גבוהה","   🔥","")&amp;IF(INDEX(T_Eff,$K63)="תקוע","   ⛔ תקוע",""))</f>
        <v/>
      </c>
      <c r="C63" s="153">
        <f>IF($L63="","",INDEX(T_ID,$L63)&amp;"  ·  "&amp;INDEX(T_Task,$L63)&amp;CHAR(10)&amp;"👤 "&amp;INDEX(T_Owner,$L63)&amp;"   🎯 "&amp;IF(ISNUMBER(INDEX(T_Due,$L63)),TEXT(INDEX(T_Due,$L63),"dd/mm/yy"),"—")&amp;IF(INDEX(T_Prio,$L63)="גבוהה","   🔥","")&amp;IF(INDEX(T_Eff,$L63)="תקוע","   ⛔ תקוע",""))</f>
        <v/>
      </c>
      <c r="D63" s="153">
        <f>IF($M63="","",INDEX(T_ID,$M63)&amp;"  ·  "&amp;INDEX(T_Task,$M63)&amp;CHAR(10)&amp;"👤 "&amp;INDEX(T_Owner,$M63)&amp;"   🎯 "&amp;IF(ISNUMBER(INDEX(T_Due,$M63)),TEXT(INDEX(T_Due,$M63),"dd/mm/yy"),"—")&amp;IF(INDEX(T_Prio,$M63)="גבוהה","   🔥","")&amp;IF(INDEX(T_Eff,$M63)="תקוע","   ⛔ תקוע",""))</f>
        <v/>
      </c>
      <c r="E63" s="153">
        <f>IF($N63="","",INDEX(T_ID,$N63)&amp;"  ·  "&amp;INDEX(T_Task,$N63)&amp;CHAR(10)&amp;"👤 "&amp;INDEX(T_Owner,$N63)&amp;"   🎯 "&amp;IF(ISNUMBER(INDEX(T_Due,$N63)),TEXT(INDEX(T_Due,$N63),"dd/mm/yy"),"—")&amp;IF(INDEX(T_Prio,$N63)="גבוהה","   🔥","")&amp;IF(INDEX(T_Eff,$N63)="תקוע","   ⛔ תקוע",""))</f>
        <v/>
      </c>
      <c r="F63" s="153">
        <f>IF($O63="","",INDEX(T_ID,$O63)&amp;"  ·  "&amp;INDEX(T_Task,$O63)&amp;CHAR(10)&amp;"👤 "&amp;INDEX(T_Owner,$O63)&amp;"   🎯 "&amp;IF(ISNUMBER(INDEX(T_Due,$O63)),TEXT(INDEX(T_Due,$O63),"dd/mm/yy"),"—")&amp;IF(INDEX(T_Prio,$O63)="גבוהה","   🔥","")&amp;IF(INDEX(T_Eff,$O63)="תקוע","   ⛔ תקוע",""))</f>
        <v/>
      </c>
      <c r="G63" s="153">
        <f>IF($P63="","",INDEX(T_ID,$P63)&amp;"  ·  "&amp;INDEX(T_Task,$P63)&amp;CHAR(10)&amp;"👤 "&amp;INDEX(T_Owner,$P63)&amp;"   🎯 "&amp;IF(ISNUMBER(INDEX(T_Due,$P63)),TEXT(INDEX(T_Due,$P63),"dd/mm/yy"),"—")&amp;IF(INDEX(T_Prio,$P63)="גבוהה","   🔥","")&amp;IF(INDEX(T_Eff,$P63)="תקוע","   ⛔ תקוע",""))</f>
        <v/>
      </c>
      <c r="K63">
        <f>IFERROR(IF(SMALL(T_Kan,COUNTIF(T_Kan,"&lt;"&amp;1*100000)+58)&lt;2*100000,MATCH(SMALL(T_Kan,COUNTIF(T_Kan,"&lt;"&amp;1*100000)+58),T_Kan,0),""),"")</f>
        <v/>
      </c>
      <c r="L63">
        <f>IFERROR(IF(SMALL(T_Kan,COUNTIF(T_Kan,"&lt;"&amp;2*100000)+58)&lt;3*100000,MATCH(SMALL(T_Kan,COUNTIF(T_Kan,"&lt;"&amp;2*100000)+58),T_Kan,0),""),"")</f>
        <v/>
      </c>
      <c r="M63">
        <f>IFERROR(IF(SMALL(T_Kan,COUNTIF(T_Kan,"&lt;"&amp;3*100000)+58)&lt;4*100000,MATCH(SMALL(T_Kan,COUNTIF(T_Kan,"&lt;"&amp;3*100000)+58),T_Kan,0),""),"")</f>
        <v/>
      </c>
      <c r="N63">
        <f>IFERROR(IF(SMALL(T_Kan,COUNTIF(T_Kan,"&lt;"&amp;4*100000)+58)&lt;5*100000,MATCH(SMALL(T_Kan,COUNTIF(T_Kan,"&lt;"&amp;4*100000)+58),T_Kan,0),""),"")</f>
        <v/>
      </c>
      <c r="O63">
        <f>IFERROR(IF(SMALL(T_Kan,COUNTIF(T_Kan,"&lt;"&amp;5*100000)+58)&lt;6*100000,MATCH(SMALL(T_Kan,COUNTIF(T_Kan,"&lt;"&amp;5*100000)+58),T_Kan,0),""),"")</f>
        <v/>
      </c>
      <c r="P63">
        <f>IFERROR(IF(SMALL(T_Kan,COUNTIF(T_Kan,"&lt;"&amp;6*100000)+58)&lt;7*100000,MATCH(SMALL(T_Kan,COUNTIF(T_Kan,"&lt;"&amp;6*100000)+58),T_Kan,0),""),"")</f>
        <v/>
      </c>
    </row>
    <row r="64" ht="46" customHeight="1">
      <c r="B64" s="153">
        <f>IF($K64="","",INDEX(T_ID,$K64)&amp;"  ·  "&amp;INDEX(T_Task,$K64)&amp;CHAR(10)&amp;"👤 "&amp;INDEX(T_Owner,$K64)&amp;"   🎯 "&amp;IF(ISNUMBER(INDEX(T_Due,$K64)),TEXT(INDEX(T_Due,$K64),"dd/mm/yy"),"—")&amp;IF(INDEX(T_Prio,$K64)="גבוהה","   🔥","")&amp;IF(INDEX(T_Eff,$K64)="תקוע","   ⛔ תקוע",""))</f>
        <v/>
      </c>
      <c r="C64" s="153">
        <f>IF($L64="","",INDEX(T_ID,$L64)&amp;"  ·  "&amp;INDEX(T_Task,$L64)&amp;CHAR(10)&amp;"👤 "&amp;INDEX(T_Owner,$L64)&amp;"   🎯 "&amp;IF(ISNUMBER(INDEX(T_Due,$L64)),TEXT(INDEX(T_Due,$L64),"dd/mm/yy"),"—")&amp;IF(INDEX(T_Prio,$L64)="גבוהה","   🔥","")&amp;IF(INDEX(T_Eff,$L64)="תקוע","   ⛔ תקוע",""))</f>
        <v/>
      </c>
      <c r="D64" s="153">
        <f>IF($M64="","",INDEX(T_ID,$M64)&amp;"  ·  "&amp;INDEX(T_Task,$M64)&amp;CHAR(10)&amp;"👤 "&amp;INDEX(T_Owner,$M64)&amp;"   🎯 "&amp;IF(ISNUMBER(INDEX(T_Due,$M64)),TEXT(INDEX(T_Due,$M64),"dd/mm/yy"),"—")&amp;IF(INDEX(T_Prio,$M64)="גבוהה","   🔥","")&amp;IF(INDEX(T_Eff,$M64)="תקוע","   ⛔ תקוע",""))</f>
        <v/>
      </c>
      <c r="E64" s="153">
        <f>IF($N64="","",INDEX(T_ID,$N64)&amp;"  ·  "&amp;INDEX(T_Task,$N64)&amp;CHAR(10)&amp;"👤 "&amp;INDEX(T_Owner,$N64)&amp;"   🎯 "&amp;IF(ISNUMBER(INDEX(T_Due,$N64)),TEXT(INDEX(T_Due,$N64),"dd/mm/yy"),"—")&amp;IF(INDEX(T_Prio,$N64)="גבוהה","   🔥","")&amp;IF(INDEX(T_Eff,$N64)="תקוע","   ⛔ תקוע",""))</f>
        <v/>
      </c>
      <c r="F64" s="153">
        <f>IF($O64="","",INDEX(T_ID,$O64)&amp;"  ·  "&amp;INDEX(T_Task,$O64)&amp;CHAR(10)&amp;"👤 "&amp;INDEX(T_Owner,$O64)&amp;"   🎯 "&amp;IF(ISNUMBER(INDEX(T_Due,$O64)),TEXT(INDEX(T_Due,$O64),"dd/mm/yy"),"—")&amp;IF(INDEX(T_Prio,$O64)="גבוהה","   🔥","")&amp;IF(INDEX(T_Eff,$O64)="תקוע","   ⛔ תקוע",""))</f>
        <v/>
      </c>
      <c r="G64" s="153">
        <f>IF($P64="","",INDEX(T_ID,$P64)&amp;"  ·  "&amp;INDEX(T_Task,$P64)&amp;CHAR(10)&amp;"👤 "&amp;INDEX(T_Owner,$P64)&amp;"   🎯 "&amp;IF(ISNUMBER(INDEX(T_Due,$P64)),TEXT(INDEX(T_Due,$P64),"dd/mm/yy"),"—")&amp;IF(INDEX(T_Prio,$P64)="גבוהה","   🔥","")&amp;IF(INDEX(T_Eff,$P64)="תקוע","   ⛔ תקוע",""))</f>
        <v/>
      </c>
      <c r="K64">
        <f>IFERROR(IF(SMALL(T_Kan,COUNTIF(T_Kan,"&lt;"&amp;1*100000)+59)&lt;2*100000,MATCH(SMALL(T_Kan,COUNTIF(T_Kan,"&lt;"&amp;1*100000)+59),T_Kan,0),""),"")</f>
        <v/>
      </c>
      <c r="L64">
        <f>IFERROR(IF(SMALL(T_Kan,COUNTIF(T_Kan,"&lt;"&amp;2*100000)+59)&lt;3*100000,MATCH(SMALL(T_Kan,COUNTIF(T_Kan,"&lt;"&amp;2*100000)+59),T_Kan,0),""),"")</f>
        <v/>
      </c>
      <c r="M64">
        <f>IFERROR(IF(SMALL(T_Kan,COUNTIF(T_Kan,"&lt;"&amp;3*100000)+59)&lt;4*100000,MATCH(SMALL(T_Kan,COUNTIF(T_Kan,"&lt;"&amp;3*100000)+59),T_Kan,0),""),"")</f>
        <v/>
      </c>
      <c r="N64">
        <f>IFERROR(IF(SMALL(T_Kan,COUNTIF(T_Kan,"&lt;"&amp;4*100000)+59)&lt;5*100000,MATCH(SMALL(T_Kan,COUNTIF(T_Kan,"&lt;"&amp;4*100000)+59),T_Kan,0),""),"")</f>
        <v/>
      </c>
      <c r="O64">
        <f>IFERROR(IF(SMALL(T_Kan,COUNTIF(T_Kan,"&lt;"&amp;5*100000)+59)&lt;6*100000,MATCH(SMALL(T_Kan,COUNTIF(T_Kan,"&lt;"&amp;5*100000)+59),T_Kan,0),""),"")</f>
        <v/>
      </c>
      <c r="P64">
        <f>IFERROR(IF(SMALL(T_Kan,COUNTIF(T_Kan,"&lt;"&amp;6*100000)+59)&lt;7*100000,MATCH(SMALL(T_Kan,COUNTIF(T_Kan,"&lt;"&amp;6*100000)+59),T_Kan,0),""),"")</f>
        <v/>
      </c>
    </row>
    <row r="65" ht="46" customHeight="1">
      <c r="B65" s="153">
        <f>IF($K65="","",INDEX(T_ID,$K65)&amp;"  ·  "&amp;INDEX(T_Task,$K65)&amp;CHAR(10)&amp;"👤 "&amp;INDEX(T_Owner,$K65)&amp;"   🎯 "&amp;IF(ISNUMBER(INDEX(T_Due,$K65)),TEXT(INDEX(T_Due,$K65),"dd/mm/yy"),"—")&amp;IF(INDEX(T_Prio,$K65)="גבוהה","   🔥","")&amp;IF(INDEX(T_Eff,$K65)="תקוע","   ⛔ תקוע",""))</f>
        <v/>
      </c>
      <c r="C65" s="153">
        <f>IF($L65="","",INDEX(T_ID,$L65)&amp;"  ·  "&amp;INDEX(T_Task,$L65)&amp;CHAR(10)&amp;"👤 "&amp;INDEX(T_Owner,$L65)&amp;"   🎯 "&amp;IF(ISNUMBER(INDEX(T_Due,$L65)),TEXT(INDEX(T_Due,$L65),"dd/mm/yy"),"—")&amp;IF(INDEX(T_Prio,$L65)="גבוהה","   🔥","")&amp;IF(INDEX(T_Eff,$L65)="תקוע","   ⛔ תקוע",""))</f>
        <v/>
      </c>
      <c r="D65" s="153">
        <f>IF($M65="","",INDEX(T_ID,$M65)&amp;"  ·  "&amp;INDEX(T_Task,$M65)&amp;CHAR(10)&amp;"👤 "&amp;INDEX(T_Owner,$M65)&amp;"   🎯 "&amp;IF(ISNUMBER(INDEX(T_Due,$M65)),TEXT(INDEX(T_Due,$M65),"dd/mm/yy"),"—")&amp;IF(INDEX(T_Prio,$M65)="גבוהה","   🔥","")&amp;IF(INDEX(T_Eff,$M65)="תקוע","   ⛔ תקוע",""))</f>
        <v/>
      </c>
      <c r="E65" s="153">
        <f>IF($N65="","",INDEX(T_ID,$N65)&amp;"  ·  "&amp;INDEX(T_Task,$N65)&amp;CHAR(10)&amp;"👤 "&amp;INDEX(T_Owner,$N65)&amp;"   🎯 "&amp;IF(ISNUMBER(INDEX(T_Due,$N65)),TEXT(INDEX(T_Due,$N65),"dd/mm/yy"),"—")&amp;IF(INDEX(T_Prio,$N65)="גבוהה","   🔥","")&amp;IF(INDEX(T_Eff,$N65)="תקוע","   ⛔ תקוע",""))</f>
        <v/>
      </c>
      <c r="F65" s="153">
        <f>IF($O65="","",INDEX(T_ID,$O65)&amp;"  ·  "&amp;INDEX(T_Task,$O65)&amp;CHAR(10)&amp;"👤 "&amp;INDEX(T_Owner,$O65)&amp;"   🎯 "&amp;IF(ISNUMBER(INDEX(T_Due,$O65)),TEXT(INDEX(T_Due,$O65),"dd/mm/yy"),"—")&amp;IF(INDEX(T_Prio,$O65)="גבוהה","   🔥","")&amp;IF(INDEX(T_Eff,$O65)="תקוע","   ⛔ תקוע",""))</f>
        <v/>
      </c>
      <c r="G65" s="153">
        <f>IF($P65="","",INDEX(T_ID,$P65)&amp;"  ·  "&amp;INDEX(T_Task,$P65)&amp;CHAR(10)&amp;"👤 "&amp;INDEX(T_Owner,$P65)&amp;"   🎯 "&amp;IF(ISNUMBER(INDEX(T_Due,$P65)),TEXT(INDEX(T_Due,$P65),"dd/mm/yy"),"—")&amp;IF(INDEX(T_Prio,$P65)="גבוהה","   🔥","")&amp;IF(INDEX(T_Eff,$P65)="תקוע","   ⛔ תקוע",""))</f>
        <v/>
      </c>
      <c r="K65">
        <f>IFERROR(IF(SMALL(T_Kan,COUNTIF(T_Kan,"&lt;"&amp;1*100000)+60)&lt;2*100000,MATCH(SMALL(T_Kan,COUNTIF(T_Kan,"&lt;"&amp;1*100000)+60),T_Kan,0),""),"")</f>
        <v/>
      </c>
      <c r="L65">
        <f>IFERROR(IF(SMALL(T_Kan,COUNTIF(T_Kan,"&lt;"&amp;2*100000)+60)&lt;3*100000,MATCH(SMALL(T_Kan,COUNTIF(T_Kan,"&lt;"&amp;2*100000)+60),T_Kan,0),""),"")</f>
        <v/>
      </c>
      <c r="M65">
        <f>IFERROR(IF(SMALL(T_Kan,COUNTIF(T_Kan,"&lt;"&amp;3*100000)+60)&lt;4*100000,MATCH(SMALL(T_Kan,COUNTIF(T_Kan,"&lt;"&amp;3*100000)+60),T_Kan,0),""),"")</f>
        <v/>
      </c>
      <c r="N65">
        <f>IFERROR(IF(SMALL(T_Kan,COUNTIF(T_Kan,"&lt;"&amp;4*100000)+60)&lt;5*100000,MATCH(SMALL(T_Kan,COUNTIF(T_Kan,"&lt;"&amp;4*100000)+60),T_Kan,0),""),"")</f>
        <v/>
      </c>
      <c r="O65">
        <f>IFERROR(IF(SMALL(T_Kan,COUNTIF(T_Kan,"&lt;"&amp;5*100000)+60)&lt;6*100000,MATCH(SMALL(T_Kan,COUNTIF(T_Kan,"&lt;"&amp;5*100000)+60),T_Kan,0),""),"")</f>
        <v/>
      </c>
      <c r="P65">
        <f>IFERROR(IF(SMALL(T_Kan,COUNTIF(T_Kan,"&lt;"&amp;6*100000)+60)&lt;7*100000,MATCH(SMALL(T_Kan,COUNTIF(T_Kan,"&lt;"&amp;6*100000)+60),T_Kan,0),""),"")</f>
        <v/>
      </c>
    </row>
    <row r="66" ht="46" customHeight="1">
      <c r="B66" s="153">
        <f>IF($K66="","",INDEX(T_ID,$K66)&amp;"  ·  "&amp;INDEX(T_Task,$K66)&amp;CHAR(10)&amp;"👤 "&amp;INDEX(T_Owner,$K66)&amp;"   🎯 "&amp;IF(ISNUMBER(INDEX(T_Due,$K66)),TEXT(INDEX(T_Due,$K66),"dd/mm/yy"),"—")&amp;IF(INDEX(T_Prio,$K66)="גבוהה","   🔥","")&amp;IF(INDEX(T_Eff,$K66)="תקוע","   ⛔ תקוע",""))</f>
        <v/>
      </c>
      <c r="C66" s="153">
        <f>IF($L66="","",INDEX(T_ID,$L66)&amp;"  ·  "&amp;INDEX(T_Task,$L66)&amp;CHAR(10)&amp;"👤 "&amp;INDEX(T_Owner,$L66)&amp;"   🎯 "&amp;IF(ISNUMBER(INDEX(T_Due,$L66)),TEXT(INDEX(T_Due,$L66),"dd/mm/yy"),"—")&amp;IF(INDEX(T_Prio,$L66)="גבוהה","   🔥","")&amp;IF(INDEX(T_Eff,$L66)="תקוע","   ⛔ תקוע",""))</f>
        <v/>
      </c>
      <c r="D66" s="153">
        <f>IF($M66="","",INDEX(T_ID,$M66)&amp;"  ·  "&amp;INDEX(T_Task,$M66)&amp;CHAR(10)&amp;"👤 "&amp;INDEX(T_Owner,$M66)&amp;"   🎯 "&amp;IF(ISNUMBER(INDEX(T_Due,$M66)),TEXT(INDEX(T_Due,$M66),"dd/mm/yy"),"—")&amp;IF(INDEX(T_Prio,$M66)="גבוהה","   🔥","")&amp;IF(INDEX(T_Eff,$M66)="תקוע","   ⛔ תקוע",""))</f>
        <v/>
      </c>
      <c r="E66" s="153">
        <f>IF($N66="","",INDEX(T_ID,$N66)&amp;"  ·  "&amp;INDEX(T_Task,$N66)&amp;CHAR(10)&amp;"👤 "&amp;INDEX(T_Owner,$N66)&amp;"   🎯 "&amp;IF(ISNUMBER(INDEX(T_Due,$N66)),TEXT(INDEX(T_Due,$N66),"dd/mm/yy"),"—")&amp;IF(INDEX(T_Prio,$N66)="גבוהה","   🔥","")&amp;IF(INDEX(T_Eff,$N66)="תקוע","   ⛔ תקוע",""))</f>
        <v/>
      </c>
      <c r="F66" s="153">
        <f>IF($O66="","",INDEX(T_ID,$O66)&amp;"  ·  "&amp;INDEX(T_Task,$O66)&amp;CHAR(10)&amp;"👤 "&amp;INDEX(T_Owner,$O66)&amp;"   🎯 "&amp;IF(ISNUMBER(INDEX(T_Due,$O66)),TEXT(INDEX(T_Due,$O66),"dd/mm/yy"),"—")&amp;IF(INDEX(T_Prio,$O66)="גבוהה","   🔥","")&amp;IF(INDEX(T_Eff,$O66)="תקוע","   ⛔ תקוע",""))</f>
        <v/>
      </c>
      <c r="G66" s="153">
        <f>IF($P66="","",INDEX(T_ID,$P66)&amp;"  ·  "&amp;INDEX(T_Task,$P66)&amp;CHAR(10)&amp;"👤 "&amp;INDEX(T_Owner,$P66)&amp;"   🎯 "&amp;IF(ISNUMBER(INDEX(T_Due,$P66)),TEXT(INDEX(T_Due,$P66),"dd/mm/yy"),"—")&amp;IF(INDEX(T_Prio,$P66)="גבוהה","   🔥","")&amp;IF(INDEX(T_Eff,$P66)="תקוע","   ⛔ תקוע",""))</f>
        <v/>
      </c>
      <c r="K66">
        <f>IFERROR(IF(SMALL(T_Kan,COUNTIF(T_Kan,"&lt;"&amp;1*100000)+61)&lt;2*100000,MATCH(SMALL(T_Kan,COUNTIF(T_Kan,"&lt;"&amp;1*100000)+61),T_Kan,0),""),"")</f>
        <v/>
      </c>
      <c r="L66">
        <f>IFERROR(IF(SMALL(T_Kan,COUNTIF(T_Kan,"&lt;"&amp;2*100000)+61)&lt;3*100000,MATCH(SMALL(T_Kan,COUNTIF(T_Kan,"&lt;"&amp;2*100000)+61),T_Kan,0),""),"")</f>
        <v/>
      </c>
      <c r="M66">
        <f>IFERROR(IF(SMALL(T_Kan,COUNTIF(T_Kan,"&lt;"&amp;3*100000)+61)&lt;4*100000,MATCH(SMALL(T_Kan,COUNTIF(T_Kan,"&lt;"&amp;3*100000)+61),T_Kan,0),""),"")</f>
        <v/>
      </c>
      <c r="N66">
        <f>IFERROR(IF(SMALL(T_Kan,COUNTIF(T_Kan,"&lt;"&amp;4*100000)+61)&lt;5*100000,MATCH(SMALL(T_Kan,COUNTIF(T_Kan,"&lt;"&amp;4*100000)+61),T_Kan,0),""),"")</f>
        <v/>
      </c>
      <c r="O66">
        <f>IFERROR(IF(SMALL(T_Kan,COUNTIF(T_Kan,"&lt;"&amp;5*100000)+61)&lt;6*100000,MATCH(SMALL(T_Kan,COUNTIF(T_Kan,"&lt;"&amp;5*100000)+61),T_Kan,0),""),"")</f>
        <v/>
      </c>
      <c r="P66">
        <f>IFERROR(IF(SMALL(T_Kan,COUNTIF(T_Kan,"&lt;"&amp;6*100000)+61)&lt;7*100000,MATCH(SMALL(T_Kan,COUNTIF(T_Kan,"&lt;"&amp;6*100000)+61),T_Kan,0),""),"")</f>
        <v/>
      </c>
    </row>
    <row r="67" ht="46" customHeight="1">
      <c r="B67" s="153">
        <f>IF($K67="","",INDEX(T_ID,$K67)&amp;"  ·  "&amp;INDEX(T_Task,$K67)&amp;CHAR(10)&amp;"👤 "&amp;INDEX(T_Owner,$K67)&amp;"   🎯 "&amp;IF(ISNUMBER(INDEX(T_Due,$K67)),TEXT(INDEX(T_Due,$K67),"dd/mm/yy"),"—")&amp;IF(INDEX(T_Prio,$K67)="גבוהה","   🔥","")&amp;IF(INDEX(T_Eff,$K67)="תקוע","   ⛔ תקוע",""))</f>
        <v/>
      </c>
      <c r="C67" s="153">
        <f>IF($L67="","",INDEX(T_ID,$L67)&amp;"  ·  "&amp;INDEX(T_Task,$L67)&amp;CHAR(10)&amp;"👤 "&amp;INDEX(T_Owner,$L67)&amp;"   🎯 "&amp;IF(ISNUMBER(INDEX(T_Due,$L67)),TEXT(INDEX(T_Due,$L67),"dd/mm/yy"),"—")&amp;IF(INDEX(T_Prio,$L67)="גבוהה","   🔥","")&amp;IF(INDEX(T_Eff,$L67)="תקוע","   ⛔ תקוע",""))</f>
        <v/>
      </c>
      <c r="D67" s="153">
        <f>IF($M67="","",INDEX(T_ID,$M67)&amp;"  ·  "&amp;INDEX(T_Task,$M67)&amp;CHAR(10)&amp;"👤 "&amp;INDEX(T_Owner,$M67)&amp;"   🎯 "&amp;IF(ISNUMBER(INDEX(T_Due,$M67)),TEXT(INDEX(T_Due,$M67),"dd/mm/yy"),"—")&amp;IF(INDEX(T_Prio,$M67)="גבוהה","   🔥","")&amp;IF(INDEX(T_Eff,$M67)="תקוע","   ⛔ תקוע",""))</f>
        <v/>
      </c>
      <c r="E67" s="153">
        <f>IF($N67="","",INDEX(T_ID,$N67)&amp;"  ·  "&amp;INDEX(T_Task,$N67)&amp;CHAR(10)&amp;"👤 "&amp;INDEX(T_Owner,$N67)&amp;"   🎯 "&amp;IF(ISNUMBER(INDEX(T_Due,$N67)),TEXT(INDEX(T_Due,$N67),"dd/mm/yy"),"—")&amp;IF(INDEX(T_Prio,$N67)="גבוהה","   🔥","")&amp;IF(INDEX(T_Eff,$N67)="תקוע","   ⛔ תקוע",""))</f>
        <v/>
      </c>
      <c r="F67" s="153">
        <f>IF($O67="","",INDEX(T_ID,$O67)&amp;"  ·  "&amp;INDEX(T_Task,$O67)&amp;CHAR(10)&amp;"👤 "&amp;INDEX(T_Owner,$O67)&amp;"   🎯 "&amp;IF(ISNUMBER(INDEX(T_Due,$O67)),TEXT(INDEX(T_Due,$O67),"dd/mm/yy"),"—")&amp;IF(INDEX(T_Prio,$O67)="גבוהה","   🔥","")&amp;IF(INDEX(T_Eff,$O67)="תקוע","   ⛔ תקוע",""))</f>
        <v/>
      </c>
      <c r="G67" s="153">
        <f>IF($P67="","",INDEX(T_ID,$P67)&amp;"  ·  "&amp;INDEX(T_Task,$P67)&amp;CHAR(10)&amp;"👤 "&amp;INDEX(T_Owner,$P67)&amp;"   🎯 "&amp;IF(ISNUMBER(INDEX(T_Due,$P67)),TEXT(INDEX(T_Due,$P67),"dd/mm/yy"),"—")&amp;IF(INDEX(T_Prio,$P67)="גבוהה","   🔥","")&amp;IF(INDEX(T_Eff,$P67)="תקוע","   ⛔ תקוע",""))</f>
        <v/>
      </c>
      <c r="K67">
        <f>IFERROR(IF(SMALL(T_Kan,COUNTIF(T_Kan,"&lt;"&amp;1*100000)+62)&lt;2*100000,MATCH(SMALL(T_Kan,COUNTIF(T_Kan,"&lt;"&amp;1*100000)+62),T_Kan,0),""),"")</f>
        <v/>
      </c>
      <c r="L67">
        <f>IFERROR(IF(SMALL(T_Kan,COUNTIF(T_Kan,"&lt;"&amp;2*100000)+62)&lt;3*100000,MATCH(SMALL(T_Kan,COUNTIF(T_Kan,"&lt;"&amp;2*100000)+62),T_Kan,0),""),"")</f>
        <v/>
      </c>
      <c r="M67">
        <f>IFERROR(IF(SMALL(T_Kan,COUNTIF(T_Kan,"&lt;"&amp;3*100000)+62)&lt;4*100000,MATCH(SMALL(T_Kan,COUNTIF(T_Kan,"&lt;"&amp;3*100000)+62),T_Kan,0),""),"")</f>
        <v/>
      </c>
      <c r="N67">
        <f>IFERROR(IF(SMALL(T_Kan,COUNTIF(T_Kan,"&lt;"&amp;4*100000)+62)&lt;5*100000,MATCH(SMALL(T_Kan,COUNTIF(T_Kan,"&lt;"&amp;4*100000)+62),T_Kan,0),""),"")</f>
        <v/>
      </c>
      <c r="O67">
        <f>IFERROR(IF(SMALL(T_Kan,COUNTIF(T_Kan,"&lt;"&amp;5*100000)+62)&lt;6*100000,MATCH(SMALL(T_Kan,COUNTIF(T_Kan,"&lt;"&amp;5*100000)+62),T_Kan,0),""),"")</f>
        <v/>
      </c>
      <c r="P67">
        <f>IFERROR(IF(SMALL(T_Kan,COUNTIF(T_Kan,"&lt;"&amp;6*100000)+62)&lt;7*100000,MATCH(SMALL(T_Kan,COUNTIF(T_Kan,"&lt;"&amp;6*100000)+62),T_Kan,0),""),"")</f>
        <v/>
      </c>
    </row>
    <row r="68" ht="46" customHeight="1">
      <c r="B68" s="153">
        <f>IF($K68="","",INDEX(T_ID,$K68)&amp;"  ·  "&amp;INDEX(T_Task,$K68)&amp;CHAR(10)&amp;"👤 "&amp;INDEX(T_Owner,$K68)&amp;"   🎯 "&amp;IF(ISNUMBER(INDEX(T_Due,$K68)),TEXT(INDEX(T_Due,$K68),"dd/mm/yy"),"—")&amp;IF(INDEX(T_Prio,$K68)="גבוהה","   🔥","")&amp;IF(INDEX(T_Eff,$K68)="תקוע","   ⛔ תקוע",""))</f>
        <v/>
      </c>
      <c r="C68" s="153">
        <f>IF($L68="","",INDEX(T_ID,$L68)&amp;"  ·  "&amp;INDEX(T_Task,$L68)&amp;CHAR(10)&amp;"👤 "&amp;INDEX(T_Owner,$L68)&amp;"   🎯 "&amp;IF(ISNUMBER(INDEX(T_Due,$L68)),TEXT(INDEX(T_Due,$L68),"dd/mm/yy"),"—")&amp;IF(INDEX(T_Prio,$L68)="גבוהה","   🔥","")&amp;IF(INDEX(T_Eff,$L68)="תקוע","   ⛔ תקוע",""))</f>
        <v/>
      </c>
      <c r="D68" s="153">
        <f>IF($M68="","",INDEX(T_ID,$M68)&amp;"  ·  "&amp;INDEX(T_Task,$M68)&amp;CHAR(10)&amp;"👤 "&amp;INDEX(T_Owner,$M68)&amp;"   🎯 "&amp;IF(ISNUMBER(INDEX(T_Due,$M68)),TEXT(INDEX(T_Due,$M68),"dd/mm/yy"),"—")&amp;IF(INDEX(T_Prio,$M68)="גבוהה","   🔥","")&amp;IF(INDEX(T_Eff,$M68)="תקוע","   ⛔ תקוע",""))</f>
        <v/>
      </c>
      <c r="E68" s="153">
        <f>IF($N68="","",INDEX(T_ID,$N68)&amp;"  ·  "&amp;INDEX(T_Task,$N68)&amp;CHAR(10)&amp;"👤 "&amp;INDEX(T_Owner,$N68)&amp;"   🎯 "&amp;IF(ISNUMBER(INDEX(T_Due,$N68)),TEXT(INDEX(T_Due,$N68),"dd/mm/yy"),"—")&amp;IF(INDEX(T_Prio,$N68)="גבוהה","   🔥","")&amp;IF(INDEX(T_Eff,$N68)="תקוע","   ⛔ תקוע",""))</f>
        <v/>
      </c>
      <c r="F68" s="153">
        <f>IF($O68="","",INDEX(T_ID,$O68)&amp;"  ·  "&amp;INDEX(T_Task,$O68)&amp;CHAR(10)&amp;"👤 "&amp;INDEX(T_Owner,$O68)&amp;"   🎯 "&amp;IF(ISNUMBER(INDEX(T_Due,$O68)),TEXT(INDEX(T_Due,$O68),"dd/mm/yy"),"—")&amp;IF(INDEX(T_Prio,$O68)="גבוהה","   🔥","")&amp;IF(INDEX(T_Eff,$O68)="תקוע","   ⛔ תקוע",""))</f>
        <v/>
      </c>
      <c r="G68" s="153">
        <f>IF($P68="","",INDEX(T_ID,$P68)&amp;"  ·  "&amp;INDEX(T_Task,$P68)&amp;CHAR(10)&amp;"👤 "&amp;INDEX(T_Owner,$P68)&amp;"   🎯 "&amp;IF(ISNUMBER(INDEX(T_Due,$P68)),TEXT(INDEX(T_Due,$P68),"dd/mm/yy"),"—")&amp;IF(INDEX(T_Prio,$P68)="גבוהה","   🔥","")&amp;IF(INDEX(T_Eff,$P68)="תקוע","   ⛔ תקוע",""))</f>
        <v/>
      </c>
      <c r="K68">
        <f>IFERROR(IF(SMALL(T_Kan,COUNTIF(T_Kan,"&lt;"&amp;1*100000)+63)&lt;2*100000,MATCH(SMALL(T_Kan,COUNTIF(T_Kan,"&lt;"&amp;1*100000)+63),T_Kan,0),""),"")</f>
        <v/>
      </c>
      <c r="L68">
        <f>IFERROR(IF(SMALL(T_Kan,COUNTIF(T_Kan,"&lt;"&amp;2*100000)+63)&lt;3*100000,MATCH(SMALL(T_Kan,COUNTIF(T_Kan,"&lt;"&amp;2*100000)+63),T_Kan,0),""),"")</f>
        <v/>
      </c>
      <c r="M68">
        <f>IFERROR(IF(SMALL(T_Kan,COUNTIF(T_Kan,"&lt;"&amp;3*100000)+63)&lt;4*100000,MATCH(SMALL(T_Kan,COUNTIF(T_Kan,"&lt;"&amp;3*100000)+63),T_Kan,0),""),"")</f>
        <v/>
      </c>
      <c r="N68">
        <f>IFERROR(IF(SMALL(T_Kan,COUNTIF(T_Kan,"&lt;"&amp;4*100000)+63)&lt;5*100000,MATCH(SMALL(T_Kan,COUNTIF(T_Kan,"&lt;"&amp;4*100000)+63),T_Kan,0),""),"")</f>
        <v/>
      </c>
      <c r="O68">
        <f>IFERROR(IF(SMALL(T_Kan,COUNTIF(T_Kan,"&lt;"&amp;5*100000)+63)&lt;6*100000,MATCH(SMALL(T_Kan,COUNTIF(T_Kan,"&lt;"&amp;5*100000)+63),T_Kan,0),""),"")</f>
        <v/>
      </c>
      <c r="P68">
        <f>IFERROR(IF(SMALL(T_Kan,COUNTIF(T_Kan,"&lt;"&amp;6*100000)+63)&lt;7*100000,MATCH(SMALL(T_Kan,COUNTIF(T_Kan,"&lt;"&amp;6*100000)+63),T_Kan,0),""),"")</f>
        <v/>
      </c>
    </row>
    <row r="69" ht="46" customHeight="1">
      <c r="B69" s="153">
        <f>IF($K69="","",INDEX(T_ID,$K69)&amp;"  ·  "&amp;INDEX(T_Task,$K69)&amp;CHAR(10)&amp;"👤 "&amp;INDEX(T_Owner,$K69)&amp;"   🎯 "&amp;IF(ISNUMBER(INDEX(T_Due,$K69)),TEXT(INDEX(T_Due,$K69),"dd/mm/yy"),"—")&amp;IF(INDEX(T_Prio,$K69)="גבוהה","   🔥","")&amp;IF(INDEX(T_Eff,$K69)="תקוע","   ⛔ תקוע",""))</f>
        <v/>
      </c>
      <c r="C69" s="153">
        <f>IF($L69="","",INDEX(T_ID,$L69)&amp;"  ·  "&amp;INDEX(T_Task,$L69)&amp;CHAR(10)&amp;"👤 "&amp;INDEX(T_Owner,$L69)&amp;"   🎯 "&amp;IF(ISNUMBER(INDEX(T_Due,$L69)),TEXT(INDEX(T_Due,$L69),"dd/mm/yy"),"—")&amp;IF(INDEX(T_Prio,$L69)="גבוהה","   🔥","")&amp;IF(INDEX(T_Eff,$L69)="תקוע","   ⛔ תקוע",""))</f>
        <v/>
      </c>
      <c r="D69" s="153">
        <f>IF($M69="","",INDEX(T_ID,$M69)&amp;"  ·  "&amp;INDEX(T_Task,$M69)&amp;CHAR(10)&amp;"👤 "&amp;INDEX(T_Owner,$M69)&amp;"   🎯 "&amp;IF(ISNUMBER(INDEX(T_Due,$M69)),TEXT(INDEX(T_Due,$M69),"dd/mm/yy"),"—")&amp;IF(INDEX(T_Prio,$M69)="גבוהה","   🔥","")&amp;IF(INDEX(T_Eff,$M69)="תקוע","   ⛔ תקוע",""))</f>
        <v/>
      </c>
      <c r="E69" s="153">
        <f>IF($N69="","",INDEX(T_ID,$N69)&amp;"  ·  "&amp;INDEX(T_Task,$N69)&amp;CHAR(10)&amp;"👤 "&amp;INDEX(T_Owner,$N69)&amp;"   🎯 "&amp;IF(ISNUMBER(INDEX(T_Due,$N69)),TEXT(INDEX(T_Due,$N69),"dd/mm/yy"),"—")&amp;IF(INDEX(T_Prio,$N69)="גבוהה","   🔥","")&amp;IF(INDEX(T_Eff,$N69)="תקוע","   ⛔ תקוע",""))</f>
        <v/>
      </c>
      <c r="F69" s="153">
        <f>IF($O69="","",INDEX(T_ID,$O69)&amp;"  ·  "&amp;INDEX(T_Task,$O69)&amp;CHAR(10)&amp;"👤 "&amp;INDEX(T_Owner,$O69)&amp;"   🎯 "&amp;IF(ISNUMBER(INDEX(T_Due,$O69)),TEXT(INDEX(T_Due,$O69),"dd/mm/yy"),"—")&amp;IF(INDEX(T_Prio,$O69)="גבוהה","   🔥","")&amp;IF(INDEX(T_Eff,$O69)="תקוע","   ⛔ תקוע",""))</f>
        <v/>
      </c>
      <c r="G69" s="153">
        <f>IF($P69="","",INDEX(T_ID,$P69)&amp;"  ·  "&amp;INDEX(T_Task,$P69)&amp;CHAR(10)&amp;"👤 "&amp;INDEX(T_Owner,$P69)&amp;"   🎯 "&amp;IF(ISNUMBER(INDEX(T_Due,$P69)),TEXT(INDEX(T_Due,$P69),"dd/mm/yy"),"—")&amp;IF(INDEX(T_Prio,$P69)="גבוהה","   🔥","")&amp;IF(INDEX(T_Eff,$P69)="תקוע","   ⛔ תקוע",""))</f>
        <v/>
      </c>
      <c r="K69">
        <f>IFERROR(IF(SMALL(T_Kan,COUNTIF(T_Kan,"&lt;"&amp;1*100000)+64)&lt;2*100000,MATCH(SMALL(T_Kan,COUNTIF(T_Kan,"&lt;"&amp;1*100000)+64),T_Kan,0),""),"")</f>
        <v/>
      </c>
      <c r="L69">
        <f>IFERROR(IF(SMALL(T_Kan,COUNTIF(T_Kan,"&lt;"&amp;2*100000)+64)&lt;3*100000,MATCH(SMALL(T_Kan,COUNTIF(T_Kan,"&lt;"&amp;2*100000)+64),T_Kan,0),""),"")</f>
        <v/>
      </c>
      <c r="M69">
        <f>IFERROR(IF(SMALL(T_Kan,COUNTIF(T_Kan,"&lt;"&amp;3*100000)+64)&lt;4*100000,MATCH(SMALL(T_Kan,COUNTIF(T_Kan,"&lt;"&amp;3*100000)+64),T_Kan,0),""),"")</f>
        <v/>
      </c>
      <c r="N69">
        <f>IFERROR(IF(SMALL(T_Kan,COUNTIF(T_Kan,"&lt;"&amp;4*100000)+64)&lt;5*100000,MATCH(SMALL(T_Kan,COUNTIF(T_Kan,"&lt;"&amp;4*100000)+64),T_Kan,0),""),"")</f>
        <v/>
      </c>
      <c r="O69">
        <f>IFERROR(IF(SMALL(T_Kan,COUNTIF(T_Kan,"&lt;"&amp;5*100000)+64)&lt;6*100000,MATCH(SMALL(T_Kan,COUNTIF(T_Kan,"&lt;"&amp;5*100000)+64),T_Kan,0),""),"")</f>
        <v/>
      </c>
      <c r="P69">
        <f>IFERROR(IF(SMALL(T_Kan,COUNTIF(T_Kan,"&lt;"&amp;6*100000)+64)&lt;7*100000,MATCH(SMALL(T_Kan,COUNTIF(T_Kan,"&lt;"&amp;6*100000)+64),T_Kan,0),""),"")</f>
        <v/>
      </c>
    </row>
    <row r="70" ht="46" customHeight="1">
      <c r="B70" s="153">
        <f>IF($K70="","",INDEX(T_ID,$K70)&amp;"  ·  "&amp;INDEX(T_Task,$K70)&amp;CHAR(10)&amp;"👤 "&amp;INDEX(T_Owner,$K70)&amp;"   🎯 "&amp;IF(ISNUMBER(INDEX(T_Due,$K70)),TEXT(INDEX(T_Due,$K70),"dd/mm/yy"),"—")&amp;IF(INDEX(T_Prio,$K70)="גבוהה","   🔥","")&amp;IF(INDEX(T_Eff,$K70)="תקוע","   ⛔ תקוע",""))</f>
        <v/>
      </c>
      <c r="C70" s="153">
        <f>IF($L70="","",INDEX(T_ID,$L70)&amp;"  ·  "&amp;INDEX(T_Task,$L70)&amp;CHAR(10)&amp;"👤 "&amp;INDEX(T_Owner,$L70)&amp;"   🎯 "&amp;IF(ISNUMBER(INDEX(T_Due,$L70)),TEXT(INDEX(T_Due,$L70),"dd/mm/yy"),"—")&amp;IF(INDEX(T_Prio,$L70)="גבוהה","   🔥","")&amp;IF(INDEX(T_Eff,$L70)="תקוע","   ⛔ תקוע",""))</f>
        <v/>
      </c>
      <c r="D70" s="153">
        <f>IF($M70="","",INDEX(T_ID,$M70)&amp;"  ·  "&amp;INDEX(T_Task,$M70)&amp;CHAR(10)&amp;"👤 "&amp;INDEX(T_Owner,$M70)&amp;"   🎯 "&amp;IF(ISNUMBER(INDEX(T_Due,$M70)),TEXT(INDEX(T_Due,$M70),"dd/mm/yy"),"—")&amp;IF(INDEX(T_Prio,$M70)="גבוהה","   🔥","")&amp;IF(INDEX(T_Eff,$M70)="תקוע","   ⛔ תקוע",""))</f>
        <v/>
      </c>
      <c r="E70" s="153">
        <f>IF($N70="","",INDEX(T_ID,$N70)&amp;"  ·  "&amp;INDEX(T_Task,$N70)&amp;CHAR(10)&amp;"👤 "&amp;INDEX(T_Owner,$N70)&amp;"   🎯 "&amp;IF(ISNUMBER(INDEX(T_Due,$N70)),TEXT(INDEX(T_Due,$N70),"dd/mm/yy"),"—")&amp;IF(INDEX(T_Prio,$N70)="גבוהה","   🔥","")&amp;IF(INDEX(T_Eff,$N70)="תקוע","   ⛔ תקוע",""))</f>
        <v/>
      </c>
      <c r="F70" s="153">
        <f>IF($O70="","",INDEX(T_ID,$O70)&amp;"  ·  "&amp;INDEX(T_Task,$O70)&amp;CHAR(10)&amp;"👤 "&amp;INDEX(T_Owner,$O70)&amp;"   🎯 "&amp;IF(ISNUMBER(INDEX(T_Due,$O70)),TEXT(INDEX(T_Due,$O70),"dd/mm/yy"),"—")&amp;IF(INDEX(T_Prio,$O70)="גבוהה","   🔥","")&amp;IF(INDEX(T_Eff,$O70)="תקוע","   ⛔ תקוע",""))</f>
        <v/>
      </c>
      <c r="G70" s="153">
        <f>IF($P70="","",INDEX(T_ID,$P70)&amp;"  ·  "&amp;INDEX(T_Task,$P70)&amp;CHAR(10)&amp;"👤 "&amp;INDEX(T_Owner,$P70)&amp;"   🎯 "&amp;IF(ISNUMBER(INDEX(T_Due,$P70)),TEXT(INDEX(T_Due,$P70),"dd/mm/yy"),"—")&amp;IF(INDEX(T_Prio,$P70)="גבוהה","   🔥","")&amp;IF(INDEX(T_Eff,$P70)="תקוע","   ⛔ תקוע",""))</f>
        <v/>
      </c>
      <c r="K70">
        <f>IFERROR(IF(SMALL(T_Kan,COUNTIF(T_Kan,"&lt;"&amp;1*100000)+65)&lt;2*100000,MATCH(SMALL(T_Kan,COUNTIF(T_Kan,"&lt;"&amp;1*100000)+65),T_Kan,0),""),"")</f>
        <v/>
      </c>
      <c r="L70">
        <f>IFERROR(IF(SMALL(T_Kan,COUNTIF(T_Kan,"&lt;"&amp;2*100000)+65)&lt;3*100000,MATCH(SMALL(T_Kan,COUNTIF(T_Kan,"&lt;"&amp;2*100000)+65),T_Kan,0),""),"")</f>
        <v/>
      </c>
      <c r="M70">
        <f>IFERROR(IF(SMALL(T_Kan,COUNTIF(T_Kan,"&lt;"&amp;3*100000)+65)&lt;4*100000,MATCH(SMALL(T_Kan,COUNTIF(T_Kan,"&lt;"&amp;3*100000)+65),T_Kan,0),""),"")</f>
        <v/>
      </c>
      <c r="N70">
        <f>IFERROR(IF(SMALL(T_Kan,COUNTIF(T_Kan,"&lt;"&amp;4*100000)+65)&lt;5*100000,MATCH(SMALL(T_Kan,COUNTIF(T_Kan,"&lt;"&amp;4*100000)+65),T_Kan,0),""),"")</f>
        <v/>
      </c>
      <c r="O70">
        <f>IFERROR(IF(SMALL(T_Kan,COUNTIF(T_Kan,"&lt;"&amp;5*100000)+65)&lt;6*100000,MATCH(SMALL(T_Kan,COUNTIF(T_Kan,"&lt;"&amp;5*100000)+65),T_Kan,0),""),"")</f>
        <v/>
      </c>
      <c r="P70">
        <f>IFERROR(IF(SMALL(T_Kan,COUNTIF(T_Kan,"&lt;"&amp;6*100000)+65)&lt;7*100000,MATCH(SMALL(T_Kan,COUNTIF(T_Kan,"&lt;"&amp;6*100000)+65),T_Kan,0),""),"")</f>
        <v/>
      </c>
    </row>
    <row r="71" ht="46" customHeight="1">
      <c r="B71" s="153">
        <f>IF($K71="","",INDEX(T_ID,$K71)&amp;"  ·  "&amp;INDEX(T_Task,$K71)&amp;CHAR(10)&amp;"👤 "&amp;INDEX(T_Owner,$K71)&amp;"   🎯 "&amp;IF(ISNUMBER(INDEX(T_Due,$K71)),TEXT(INDEX(T_Due,$K71),"dd/mm/yy"),"—")&amp;IF(INDEX(T_Prio,$K71)="גבוהה","   🔥","")&amp;IF(INDEX(T_Eff,$K71)="תקוע","   ⛔ תקוע",""))</f>
        <v/>
      </c>
      <c r="C71" s="153">
        <f>IF($L71="","",INDEX(T_ID,$L71)&amp;"  ·  "&amp;INDEX(T_Task,$L71)&amp;CHAR(10)&amp;"👤 "&amp;INDEX(T_Owner,$L71)&amp;"   🎯 "&amp;IF(ISNUMBER(INDEX(T_Due,$L71)),TEXT(INDEX(T_Due,$L71),"dd/mm/yy"),"—")&amp;IF(INDEX(T_Prio,$L71)="גבוהה","   🔥","")&amp;IF(INDEX(T_Eff,$L71)="תקוע","   ⛔ תקוע",""))</f>
        <v/>
      </c>
      <c r="D71" s="153">
        <f>IF($M71="","",INDEX(T_ID,$M71)&amp;"  ·  "&amp;INDEX(T_Task,$M71)&amp;CHAR(10)&amp;"👤 "&amp;INDEX(T_Owner,$M71)&amp;"   🎯 "&amp;IF(ISNUMBER(INDEX(T_Due,$M71)),TEXT(INDEX(T_Due,$M71),"dd/mm/yy"),"—")&amp;IF(INDEX(T_Prio,$M71)="גבוהה","   🔥","")&amp;IF(INDEX(T_Eff,$M71)="תקוע","   ⛔ תקוע",""))</f>
        <v/>
      </c>
      <c r="E71" s="153">
        <f>IF($N71="","",INDEX(T_ID,$N71)&amp;"  ·  "&amp;INDEX(T_Task,$N71)&amp;CHAR(10)&amp;"👤 "&amp;INDEX(T_Owner,$N71)&amp;"   🎯 "&amp;IF(ISNUMBER(INDEX(T_Due,$N71)),TEXT(INDEX(T_Due,$N71),"dd/mm/yy"),"—")&amp;IF(INDEX(T_Prio,$N71)="גבוהה","   🔥","")&amp;IF(INDEX(T_Eff,$N71)="תקוע","   ⛔ תקוע",""))</f>
        <v/>
      </c>
      <c r="F71" s="153">
        <f>IF($O71="","",INDEX(T_ID,$O71)&amp;"  ·  "&amp;INDEX(T_Task,$O71)&amp;CHAR(10)&amp;"👤 "&amp;INDEX(T_Owner,$O71)&amp;"   🎯 "&amp;IF(ISNUMBER(INDEX(T_Due,$O71)),TEXT(INDEX(T_Due,$O71),"dd/mm/yy"),"—")&amp;IF(INDEX(T_Prio,$O71)="גבוהה","   🔥","")&amp;IF(INDEX(T_Eff,$O71)="תקוע","   ⛔ תקוע",""))</f>
        <v/>
      </c>
      <c r="G71" s="153">
        <f>IF($P71="","",INDEX(T_ID,$P71)&amp;"  ·  "&amp;INDEX(T_Task,$P71)&amp;CHAR(10)&amp;"👤 "&amp;INDEX(T_Owner,$P71)&amp;"   🎯 "&amp;IF(ISNUMBER(INDEX(T_Due,$P71)),TEXT(INDEX(T_Due,$P71),"dd/mm/yy"),"—")&amp;IF(INDEX(T_Prio,$P71)="גבוהה","   🔥","")&amp;IF(INDEX(T_Eff,$P71)="תקוע","   ⛔ תקוע",""))</f>
        <v/>
      </c>
      <c r="K71">
        <f>IFERROR(IF(SMALL(T_Kan,COUNTIF(T_Kan,"&lt;"&amp;1*100000)+66)&lt;2*100000,MATCH(SMALL(T_Kan,COUNTIF(T_Kan,"&lt;"&amp;1*100000)+66),T_Kan,0),""),"")</f>
        <v/>
      </c>
      <c r="L71">
        <f>IFERROR(IF(SMALL(T_Kan,COUNTIF(T_Kan,"&lt;"&amp;2*100000)+66)&lt;3*100000,MATCH(SMALL(T_Kan,COUNTIF(T_Kan,"&lt;"&amp;2*100000)+66),T_Kan,0),""),"")</f>
        <v/>
      </c>
      <c r="M71">
        <f>IFERROR(IF(SMALL(T_Kan,COUNTIF(T_Kan,"&lt;"&amp;3*100000)+66)&lt;4*100000,MATCH(SMALL(T_Kan,COUNTIF(T_Kan,"&lt;"&amp;3*100000)+66),T_Kan,0),""),"")</f>
        <v/>
      </c>
      <c r="N71">
        <f>IFERROR(IF(SMALL(T_Kan,COUNTIF(T_Kan,"&lt;"&amp;4*100000)+66)&lt;5*100000,MATCH(SMALL(T_Kan,COUNTIF(T_Kan,"&lt;"&amp;4*100000)+66),T_Kan,0),""),"")</f>
        <v/>
      </c>
      <c r="O71">
        <f>IFERROR(IF(SMALL(T_Kan,COUNTIF(T_Kan,"&lt;"&amp;5*100000)+66)&lt;6*100000,MATCH(SMALL(T_Kan,COUNTIF(T_Kan,"&lt;"&amp;5*100000)+66),T_Kan,0),""),"")</f>
        <v/>
      </c>
      <c r="P71">
        <f>IFERROR(IF(SMALL(T_Kan,COUNTIF(T_Kan,"&lt;"&amp;6*100000)+66)&lt;7*100000,MATCH(SMALL(T_Kan,COUNTIF(T_Kan,"&lt;"&amp;6*100000)+66),T_Kan,0),""),"")</f>
        <v/>
      </c>
    </row>
    <row r="72" ht="46" customHeight="1">
      <c r="B72" s="153">
        <f>IF($K72="","",INDEX(T_ID,$K72)&amp;"  ·  "&amp;INDEX(T_Task,$K72)&amp;CHAR(10)&amp;"👤 "&amp;INDEX(T_Owner,$K72)&amp;"   🎯 "&amp;IF(ISNUMBER(INDEX(T_Due,$K72)),TEXT(INDEX(T_Due,$K72),"dd/mm/yy"),"—")&amp;IF(INDEX(T_Prio,$K72)="גבוהה","   🔥","")&amp;IF(INDEX(T_Eff,$K72)="תקוע","   ⛔ תקוע",""))</f>
        <v/>
      </c>
      <c r="C72" s="153">
        <f>IF($L72="","",INDEX(T_ID,$L72)&amp;"  ·  "&amp;INDEX(T_Task,$L72)&amp;CHAR(10)&amp;"👤 "&amp;INDEX(T_Owner,$L72)&amp;"   🎯 "&amp;IF(ISNUMBER(INDEX(T_Due,$L72)),TEXT(INDEX(T_Due,$L72),"dd/mm/yy"),"—")&amp;IF(INDEX(T_Prio,$L72)="גבוהה","   🔥","")&amp;IF(INDEX(T_Eff,$L72)="תקוע","   ⛔ תקוע",""))</f>
        <v/>
      </c>
      <c r="D72" s="153">
        <f>IF($M72="","",INDEX(T_ID,$M72)&amp;"  ·  "&amp;INDEX(T_Task,$M72)&amp;CHAR(10)&amp;"👤 "&amp;INDEX(T_Owner,$M72)&amp;"   🎯 "&amp;IF(ISNUMBER(INDEX(T_Due,$M72)),TEXT(INDEX(T_Due,$M72),"dd/mm/yy"),"—")&amp;IF(INDEX(T_Prio,$M72)="גבוהה","   🔥","")&amp;IF(INDEX(T_Eff,$M72)="תקוע","   ⛔ תקוע",""))</f>
        <v/>
      </c>
      <c r="E72" s="153">
        <f>IF($N72="","",INDEX(T_ID,$N72)&amp;"  ·  "&amp;INDEX(T_Task,$N72)&amp;CHAR(10)&amp;"👤 "&amp;INDEX(T_Owner,$N72)&amp;"   🎯 "&amp;IF(ISNUMBER(INDEX(T_Due,$N72)),TEXT(INDEX(T_Due,$N72),"dd/mm/yy"),"—")&amp;IF(INDEX(T_Prio,$N72)="גבוהה","   🔥","")&amp;IF(INDEX(T_Eff,$N72)="תקוע","   ⛔ תקוע",""))</f>
        <v/>
      </c>
      <c r="F72" s="153">
        <f>IF($O72="","",INDEX(T_ID,$O72)&amp;"  ·  "&amp;INDEX(T_Task,$O72)&amp;CHAR(10)&amp;"👤 "&amp;INDEX(T_Owner,$O72)&amp;"   🎯 "&amp;IF(ISNUMBER(INDEX(T_Due,$O72)),TEXT(INDEX(T_Due,$O72),"dd/mm/yy"),"—")&amp;IF(INDEX(T_Prio,$O72)="גבוהה","   🔥","")&amp;IF(INDEX(T_Eff,$O72)="תקוע","   ⛔ תקוע",""))</f>
        <v/>
      </c>
      <c r="G72" s="153">
        <f>IF($P72="","",INDEX(T_ID,$P72)&amp;"  ·  "&amp;INDEX(T_Task,$P72)&amp;CHAR(10)&amp;"👤 "&amp;INDEX(T_Owner,$P72)&amp;"   🎯 "&amp;IF(ISNUMBER(INDEX(T_Due,$P72)),TEXT(INDEX(T_Due,$P72),"dd/mm/yy"),"—")&amp;IF(INDEX(T_Prio,$P72)="גבוהה","   🔥","")&amp;IF(INDEX(T_Eff,$P72)="תקוע","   ⛔ תקוע",""))</f>
        <v/>
      </c>
      <c r="K72">
        <f>IFERROR(IF(SMALL(T_Kan,COUNTIF(T_Kan,"&lt;"&amp;1*100000)+67)&lt;2*100000,MATCH(SMALL(T_Kan,COUNTIF(T_Kan,"&lt;"&amp;1*100000)+67),T_Kan,0),""),"")</f>
        <v/>
      </c>
      <c r="L72">
        <f>IFERROR(IF(SMALL(T_Kan,COUNTIF(T_Kan,"&lt;"&amp;2*100000)+67)&lt;3*100000,MATCH(SMALL(T_Kan,COUNTIF(T_Kan,"&lt;"&amp;2*100000)+67),T_Kan,0),""),"")</f>
        <v/>
      </c>
      <c r="M72">
        <f>IFERROR(IF(SMALL(T_Kan,COUNTIF(T_Kan,"&lt;"&amp;3*100000)+67)&lt;4*100000,MATCH(SMALL(T_Kan,COUNTIF(T_Kan,"&lt;"&amp;3*100000)+67),T_Kan,0),""),"")</f>
        <v/>
      </c>
      <c r="N72">
        <f>IFERROR(IF(SMALL(T_Kan,COUNTIF(T_Kan,"&lt;"&amp;4*100000)+67)&lt;5*100000,MATCH(SMALL(T_Kan,COUNTIF(T_Kan,"&lt;"&amp;4*100000)+67),T_Kan,0),""),"")</f>
        <v/>
      </c>
      <c r="O72">
        <f>IFERROR(IF(SMALL(T_Kan,COUNTIF(T_Kan,"&lt;"&amp;5*100000)+67)&lt;6*100000,MATCH(SMALL(T_Kan,COUNTIF(T_Kan,"&lt;"&amp;5*100000)+67),T_Kan,0),""),"")</f>
        <v/>
      </c>
      <c r="P72">
        <f>IFERROR(IF(SMALL(T_Kan,COUNTIF(T_Kan,"&lt;"&amp;6*100000)+67)&lt;7*100000,MATCH(SMALL(T_Kan,COUNTIF(T_Kan,"&lt;"&amp;6*100000)+67),T_Kan,0),""),"")</f>
        <v/>
      </c>
    </row>
    <row r="73" ht="46" customHeight="1">
      <c r="B73" s="153">
        <f>IF($K73="","",INDEX(T_ID,$K73)&amp;"  ·  "&amp;INDEX(T_Task,$K73)&amp;CHAR(10)&amp;"👤 "&amp;INDEX(T_Owner,$K73)&amp;"   🎯 "&amp;IF(ISNUMBER(INDEX(T_Due,$K73)),TEXT(INDEX(T_Due,$K73),"dd/mm/yy"),"—")&amp;IF(INDEX(T_Prio,$K73)="גבוהה","   🔥","")&amp;IF(INDEX(T_Eff,$K73)="תקוע","   ⛔ תקוע",""))</f>
        <v/>
      </c>
      <c r="C73" s="153">
        <f>IF($L73="","",INDEX(T_ID,$L73)&amp;"  ·  "&amp;INDEX(T_Task,$L73)&amp;CHAR(10)&amp;"👤 "&amp;INDEX(T_Owner,$L73)&amp;"   🎯 "&amp;IF(ISNUMBER(INDEX(T_Due,$L73)),TEXT(INDEX(T_Due,$L73),"dd/mm/yy"),"—")&amp;IF(INDEX(T_Prio,$L73)="גבוהה","   🔥","")&amp;IF(INDEX(T_Eff,$L73)="תקוע","   ⛔ תקוע",""))</f>
        <v/>
      </c>
      <c r="D73" s="153">
        <f>IF($M73="","",INDEX(T_ID,$M73)&amp;"  ·  "&amp;INDEX(T_Task,$M73)&amp;CHAR(10)&amp;"👤 "&amp;INDEX(T_Owner,$M73)&amp;"   🎯 "&amp;IF(ISNUMBER(INDEX(T_Due,$M73)),TEXT(INDEX(T_Due,$M73),"dd/mm/yy"),"—")&amp;IF(INDEX(T_Prio,$M73)="גבוהה","   🔥","")&amp;IF(INDEX(T_Eff,$M73)="תקוע","   ⛔ תקוע",""))</f>
        <v/>
      </c>
      <c r="E73" s="153">
        <f>IF($N73="","",INDEX(T_ID,$N73)&amp;"  ·  "&amp;INDEX(T_Task,$N73)&amp;CHAR(10)&amp;"👤 "&amp;INDEX(T_Owner,$N73)&amp;"   🎯 "&amp;IF(ISNUMBER(INDEX(T_Due,$N73)),TEXT(INDEX(T_Due,$N73),"dd/mm/yy"),"—")&amp;IF(INDEX(T_Prio,$N73)="גבוהה","   🔥","")&amp;IF(INDEX(T_Eff,$N73)="תקוע","   ⛔ תקוע",""))</f>
        <v/>
      </c>
      <c r="F73" s="153">
        <f>IF($O73="","",INDEX(T_ID,$O73)&amp;"  ·  "&amp;INDEX(T_Task,$O73)&amp;CHAR(10)&amp;"👤 "&amp;INDEX(T_Owner,$O73)&amp;"   🎯 "&amp;IF(ISNUMBER(INDEX(T_Due,$O73)),TEXT(INDEX(T_Due,$O73),"dd/mm/yy"),"—")&amp;IF(INDEX(T_Prio,$O73)="גבוהה","   🔥","")&amp;IF(INDEX(T_Eff,$O73)="תקוע","   ⛔ תקוע",""))</f>
        <v/>
      </c>
      <c r="G73" s="153">
        <f>IF($P73="","",INDEX(T_ID,$P73)&amp;"  ·  "&amp;INDEX(T_Task,$P73)&amp;CHAR(10)&amp;"👤 "&amp;INDEX(T_Owner,$P73)&amp;"   🎯 "&amp;IF(ISNUMBER(INDEX(T_Due,$P73)),TEXT(INDEX(T_Due,$P73),"dd/mm/yy"),"—")&amp;IF(INDEX(T_Prio,$P73)="גבוהה","   🔥","")&amp;IF(INDEX(T_Eff,$P73)="תקוע","   ⛔ תקוע",""))</f>
        <v/>
      </c>
      <c r="K73">
        <f>IFERROR(IF(SMALL(T_Kan,COUNTIF(T_Kan,"&lt;"&amp;1*100000)+68)&lt;2*100000,MATCH(SMALL(T_Kan,COUNTIF(T_Kan,"&lt;"&amp;1*100000)+68),T_Kan,0),""),"")</f>
        <v/>
      </c>
      <c r="L73">
        <f>IFERROR(IF(SMALL(T_Kan,COUNTIF(T_Kan,"&lt;"&amp;2*100000)+68)&lt;3*100000,MATCH(SMALL(T_Kan,COUNTIF(T_Kan,"&lt;"&amp;2*100000)+68),T_Kan,0),""),"")</f>
        <v/>
      </c>
      <c r="M73">
        <f>IFERROR(IF(SMALL(T_Kan,COUNTIF(T_Kan,"&lt;"&amp;3*100000)+68)&lt;4*100000,MATCH(SMALL(T_Kan,COUNTIF(T_Kan,"&lt;"&amp;3*100000)+68),T_Kan,0),""),"")</f>
        <v/>
      </c>
      <c r="N73">
        <f>IFERROR(IF(SMALL(T_Kan,COUNTIF(T_Kan,"&lt;"&amp;4*100000)+68)&lt;5*100000,MATCH(SMALL(T_Kan,COUNTIF(T_Kan,"&lt;"&amp;4*100000)+68),T_Kan,0),""),"")</f>
        <v/>
      </c>
      <c r="O73">
        <f>IFERROR(IF(SMALL(T_Kan,COUNTIF(T_Kan,"&lt;"&amp;5*100000)+68)&lt;6*100000,MATCH(SMALL(T_Kan,COUNTIF(T_Kan,"&lt;"&amp;5*100000)+68),T_Kan,0),""),"")</f>
        <v/>
      </c>
      <c r="P73">
        <f>IFERROR(IF(SMALL(T_Kan,COUNTIF(T_Kan,"&lt;"&amp;6*100000)+68)&lt;7*100000,MATCH(SMALL(T_Kan,COUNTIF(T_Kan,"&lt;"&amp;6*100000)+68),T_Kan,0),""),"")</f>
        <v/>
      </c>
    </row>
    <row r="74" ht="46" customHeight="1">
      <c r="B74" s="153">
        <f>IF($K74="","",INDEX(T_ID,$K74)&amp;"  ·  "&amp;INDEX(T_Task,$K74)&amp;CHAR(10)&amp;"👤 "&amp;INDEX(T_Owner,$K74)&amp;"   🎯 "&amp;IF(ISNUMBER(INDEX(T_Due,$K74)),TEXT(INDEX(T_Due,$K74),"dd/mm/yy"),"—")&amp;IF(INDEX(T_Prio,$K74)="גבוהה","   🔥","")&amp;IF(INDEX(T_Eff,$K74)="תקוע","   ⛔ תקוע",""))</f>
        <v/>
      </c>
      <c r="C74" s="153">
        <f>IF($L74="","",INDEX(T_ID,$L74)&amp;"  ·  "&amp;INDEX(T_Task,$L74)&amp;CHAR(10)&amp;"👤 "&amp;INDEX(T_Owner,$L74)&amp;"   🎯 "&amp;IF(ISNUMBER(INDEX(T_Due,$L74)),TEXT(INDEX(T_Due,$L74),"dd/mm/yy"),"—")&amp;IF(INDEX(T_Prio,$L74)="גבוהה","   🔥","")&amp;IF(INDEX(T_Eff,$L74)="תקוע","   ⛔ תקוע",""))</f>
        <v/>
      </c>
      <c r="D74" s="153">
        <f>IF($M74="","",INDEX(T_ID,$M74)&amp;"  ·  "&amp;INDEX(T_Task,$M74)&amp;CHAR(10)&amp;"👤 "&amp;INDEX(T_Owner,$M74)&amp;"   🎯 "&amp;IF(ISNUMBER(INDEX(T_Due,$M74)),TEXT(INDEX(T_Due,$M74),"dd/mm/yy"),"—")&amp;IF(INDEX(T_Prio,$M74)="גבוהה","   🔥","")&amp;IF(INDEX(T_Eff,$M74)="תקוע","   ⛔ תקוע",""))</f>
        <v/>
      </c>
      <c r="E74" s="153">
        <f>IF($N74="","",INDEX(T_ID,$N74)&amp;"  ·  "&amp;INDEX(T_Task,$N74)&amp;CHAR(10)&amp;"👤 "&amp;INDEX(T_Owner,$N74)&amp;"   🎯 "&amp;IF(ISNUMBER(INDEX(T_Due,$N74)),TEXT(INDEX(T_Due,$N74),"dd/mm/yy"),"—")&amp;IF(INDEX(T_Prio,$N74)="גבוהה","   🔥","")&amp;IF(INDEX(T_Eff,$N74)="תקוע","   ⛔ תקוע",""))</f>
        <v/>
      </c>
      <c r="F74" s="153">
        <f>IF($O74="","",INDEX(T_ID,$O74)&amp;"  ·  "&amp;INDEX(T_Task,$O74)&amp;CHAR(10)&amp;"👤 "&amp;INDEX(T_Owner,$O74)&amp;"   🎯 "&amp;IF(ISNUMBER(INDEX(T_Due,$O74)),TEXT(INDEX(T_Due,$O74),"dd/mm/yy"),"—")&amp;IF(INDEX(T_Prio,$O74)="גבוהה","   🔥","")&amp;IF(INDEX(T_Eff,$O74)="תקוע","   ⛔ תקוע",""))</f>
        <v/>
      </c>
      <c r="G74" s="153">
        <f>IF($P74="","",INDEX(T_ID,$P74)&amp;"  ·  "&amp;INDEX(T_Task,$P74)&amp;CHAR(10)&amp;"👤 "&amp;INDEX(T_Owner,$P74)&amp;"   🎯 "&amp;IF(ISNUMBER(INDEX(T_Due,$P74)),TEXT(INDEX(T_Due,$P74),"dd/mm/yy"),"—")&amp;IF(INDEX(T_Prio,$P74)="גבוהה","   🔥","")&amp;IF(INDEX(T_Eff,$P74)="תקוע","   ⛔ תקוע",""))</f>
        <v/>
      </c>
      <c r="K74">
        <f>IFERROR(IF(SMALL(T_Kan,COUNTIF(T_Kan,"&lt;"&amp;1*100000)+69)&lt;2*100000,MATCH(SMALL(T_Kan,COUNTIF(T_Kan,"&lt;"&amp;1*100000)+69),T_Kan,0),""),"")</f>
        <v/>
      </c>
      <c r="L74">
        <f>IFERROR(IF(SMALL(T_Kan,COUNTIF(T_Kan,"&lt;"&amp;2*100000)+69)&lt;3*100000,MATCH(SMALL(T_Kan,COUNTIF(T_Kan,"&lt;"&amp;2*100000)+69),T_Kan,0),""),"")</f>
        <v/>
      </c>
      <c r="M74">
        <f>IFERROR(IF(SMALL(T_Kan,COUNTIF(T_Kan,"&lt;"&amp;3*100000)+69)&lt;4*100000,MATCH(SMALL(T_Kan,COUNTIF(T_Kan,"&lt;"&amp;3*100000)+69),T_Kan,0),""),"")</f>
        <v/>
      </c>
      <c r="N74">
        <f>IFERROR(IF(SMALL(T_Kan,COUNTIF(T_Kan,"&lt;"&amp;4*100000)+69)&lt;5*100000,MATCH(SMALL(T_Kan,COUNTIF(T_Kan,"&lt;"&amp;4*100000)+69),T_Kan,0),""),"")</f>
        <v/>
      </c>
      <c r="O74">
        <f>IFERROR(IF(SMALL(T_Kan,COUNTIF(T_Kan,"&lt;"&amp;5*100000)+69)&lt;6*100000,MATCH(SMALL(T_Kan,COUNTIF(T_Kan,"&lt;"&amp;5*100000)+69),T_Kan,0),""),"")</f>
        <v/>
      </c>
      <c r="P74">
        <f>IFERROR(IF(SMALL(T_Kan,COUNTIF(T_Kan,"&lt;"&amp;6*100000)+69)&lt;7*100000,MATCH(SMALL(T_Kan,COUNTIF(T_Kan,"&lt;"&amp;6*100000)+69),T_Kan,0),""),"")</f>
        <v/>
      </c>
    </row>
    <row r="75" ht="46" customHeight="1">
      <c r="B75" s="153">
        <f>IF($K75="","",INDEX(T_ID,$K75)&amp;"  ·  "&amp;INDEX(T_Task,$K75)&amp;CHAR(10)&amp;"👤 "&amp;INDEX(T_Owner,$K75)&amp;"   🎯 "&amp;IF(ISNUMBER(INDEX(T_Due,$K75)),TEXT(INDEX(T_Due,$K75),"dd/mm/yy"),"—")&amp;IF(INDEX(T_Prio,$K75)="גבוהה","   🔥","")&amp;IF(INDEX(T_Eff,$K75)="תקוע","   ⛔ תקוע",""))</f>
        <v/>
      </c>
      <c r="C75" s="153">
        <f>IF($L75="","",INDEX(T_ID,$L75)&amp;"  ·  "&amp;INDEX(T_Task,$L75)&amp;CHAR(10)&amp;"👤 "&amp;INDEX(T_Owner,$L75)&amp;"   🎯 "&amp;IF(ISNUMBER(INDEX(T_Due,$L75)),TEXT(INDEX(T_Due,$L75),"dd/mm/yy"),"—")&amp;IF(INDEX(T_Prio,$L75)="גבוהה","   🔥","")&amp;IF(INDEX(T_Eff,$L75)="תקוע","   ⛔ תקוע",""))</f>
        <v/>
      </c>
      <c r="D75" s="153">
        <f>IF($M75="","",INDEX(T_ID,$M75)&amp;"  ·  "&amp;INDEX(T_Task,$M75)&amp;CHAR(10)&amp;"👤 "&amp;INDEX(T_Owner,$M75)&amp;"   🎯 "&amp;IF(ISNUMBER(INDEX(T_Due,$M75)),TEXT(INDEX(T_Due,$M75),"dd/mm/yy"),"—")&amp;IF(INDEX(T_Prio,$M75)="גבוהה","   🔥","")&amp;IF(INDEX(T_Eff,$M75)="תקוע","   ⛔ תקוע",""))</f>
        <v/>
      </c>
      <c r="E75" s="153">
        <f>IF($N75="","",INDEX(T_ID,$N75)&amp;"  ·  "&amp;INDEX(T_Task,$N75)&amp;CHAR(10)&amp;"👤 "&amp;INDEX(T_Owner,$N75)&amp;"   🎯 "&amp;IF(ISNUMBER(INDEX(T_Due,$N75)),TEXT(INDEX(T_Due,$N75),"dd/mm/yy"),"—")&amp;IF(INDEX(T_Prio,$N75)="גבוהה","   🔥","")&amp;IF(INDEX(T_Eff,$N75)="תקוע","   ⛔ תקוע",""))</f>
        <v/>
      </c>
      <c r="F75" s="153">
        <f>IF($O75="","",INDEX(T_ID,$O75)&amp;"  ·  "&amp;INDEX(T_Task,$O75)&amp;CHAR(10)&amp;"👤 "&amp;INDEX(T_Owner,$O75)&amp;"   🎯 "&amp;IF(ISNUMBER(INDEX(T_Due,$O75)),TEXT(INDEX(T_Due,$O75),"dd/mm/yy"),"—")&amp;IF(INDEX(T_Prio,$O75)="גבוהה","   🔥","")&amp;IF(INDEX(T_Eff,$O75)="תקוע","   ⛔ תקוע",""))</f>
        <v/>
      </c>
      <c r="G75" s="153">
        <f>IF($P75="","",INDEX(T_ID,$P75)&amp;"  ·  "&amp;INDEX(T_Task,$P75)&amp;CHAR(10)&amp;"👤 "&amp;INDEX(T_Owner,$P75)&amp;"   🎯 "&amp;IF(ISNUMBER(INDEX(T_Due,$P75)),TEXT(INDEX(T_Due,$P75),"dd/mm/yy"),"—")&amp;IF(INDEX(T_Prio,$P75)="גבוהה","   🔥","")&amp;IF(INDEX(T_Eff,$P75)="תקוע","   ⛔ תקוע",""))</f>
        <v/>
      </c>
      <c r="K75">
        <f>IFERROR(IF(SMALL(T_Kan,COUNTIF(T_Kan,"&lt;"&amp;1*100000)+70)&lt;2*100000,MATCH(SMALL(T_Kan,COUNTIF(T_Kan,"&lt;"&amp;1*100000)+70),T_Kan,0),""),"")</f>
        <v/>
      </c>
      <c r="L75">
        <f>IFERROR(IF(SMALL(T_Kan,COUNTIF(T_Kan,"&lt;"&amp;2*100000)+70)&lt;3*100000,MATCH(SMALL(T_Kan,COUNTIF(T_Kan,"&lt;"&amp;2*100000)+70),T_Kan,0),""),"")</f>
        <v/>
      </c>
      <c r="M75">
        <f>IFERROR(IF(SMALL(T_Kan,COUNTIF(T_Kan,"&lt;"&amp;3*100000)+70)&lt;4*100000,MATCH(SMALL(T_Kan,COUNTIF(T_Kan,"&lt;"&amp;3*100000)+70),T_Kan,0),""),"")</f>
        <v/>
      </c>
      <c r="N75">
        <f>IFERROR(IF(SMALL(T_Kan,COUNTIF(T_Kan,"&lt;"&amp;4*100000)+70)&lt;5*100000,MATCH(SMALL(T_Kan,COUNTIF(T_Kan,"&lt;"&amp;4*100000)+70),T_Kan,0),""),"")</f>
        <v/>
      </c>
      <c r="O75">
        <f>IFERROR(IF(SMALL(T_Kan,COUNTIF(T_Kan,"&lt;"&amp;5*100000)+70)&lt;6*100000,MATCH(SMALL(T_Kan,COUNTIF(T_Kan,"&lt;"&amp;5*100000)+70),T_Kan,0),""),"")</f>
        <v/>
      </c>
      <c r="P75">
        <f>IFERROR(IF(SMALL(T_Kan,COUNTIF(T_Kan,"&lt;"&amp;6*100000)+70)&lt;7*100000,MATCH(SMALL(T_Kan,COUNTIF(T_Kan,"&lt;"&amp;6*100000)+70),T_Kan,0),""),"")</f>
        <v/>
      </c>
    </row>
    <row r="76" ht="46" customHeight="1">
      <c r="B76" s="153">
        <f>IF($K76="","",INDEX(T_ID,$K76)&amp;"  ·  "&amp;INDEX(T_Task,$K76)&amp;CHAR(10)&amp;"👤 "&amp;INDEX(T_Owner,$K76)&amp;"   🎯 "&amp;IF(ISNUMBER(INDEX(T_Due,$K76)),TEXT(INDEX(T_Due,$K76),"dd/mm/yy"),"—")&amp;IF(INDEX(T_Prio,$K76)="גבוהה","   🔥","")&amp;IF(INDEX(T_Eff,$K76)="תקוע","   ⛔ תקוע",""))</f>
        <v/>
      </c>
      <c r="C76" s="153">
        <f>IF($L76="","",INDEX(T_ID,$L76)&amp;"  ·  "&amp;INDEX(T_Task,$L76)&amp;CHAR(10)&amp;"👤 "&amp;INDEX(T_Owner,$L76)&amp;"   🎯 "&amp;IF(ISNUMBER(INDEX(T_Due,$L76)),TEXT(INDEX(T_Due,$L76),"dd/mm/yy"),"—")&amp;IF(INDEX(T_Prio,$L76)="גבוהה","   🔥","")&amp;IF(INDEX(T_Eff,$L76)="תקוע","   ⛔ תקוע",""))</f>
        <v/>
      </c>
      <c r="D76" s="153">
        <f>IF($M76="","",INDEX(T_ID,$M76)&amp;"  ·  "&amp;INDEX(T_Task,$M76)&amp;CHAR(10)&amp;"👤 "&amp;INDEX(T_Owner,$M76)&amp;"   🎯 "&amp;IF(ISNUMBER(INDEX(T_Due,$M76)),TEXT(INDEX(T_Due,$M76),"dd/mm/yy"),"—")&amp;IF(INDEX(T_Prio,$M76)="גבוהה","   🔥","")&amp;IF(INDEX(T_Eff,$M76)="תקוע","   ⛔ תקוע",""))</f>
        <v/>
      </c>
      <c r="E76" s="153">
        <f>IF($N76="","",INDEX(T_ID,$N76)&amp;"  ·  "&amp;INDEX(T_Task,$N76)&amp;CHAR(10)&amp;"👤 "&amp;INDEX(T_Owner,$N76)&amp;"   🎯 "&amp;IF(ISNUMBER(INDEX(T_Due,$N76)),TEXT(INDEX(T_Due,$N76),"dd/mm/yy"),"—")&amp;IF(INDEX(T_Prio,$N76)="גבוהה","   🔥","")&amp;IF(INDEX(T_Eff,$N76)="תקוע","   ⛔ תקוע",""))</f>
        <v/>
      </c>
      <c r="F76" s="153">
        <f>IF($O76="","",INDEX(T_ID,$O76)&amp;"  ·  "&amp;INDEX(T_Task,$O76)&amp;CHAR(10)&amp;"👤 "&amp;INDEX(T_Owner,$O76)&amp;"   🎯 "&amp;IF(ISNUMBER(INDEX(T_Due,$O76)),TEXT(INDEX(T_Due,$O76),"dd/mm/yy"),"—")&amp;IF(INDEX(T_Prio,$O76)="גבוהה","   🔥","")&amp;IF(INDEX(T_Eff,$O76)="תקוע","   ⛔ תקוע",""))</f>
        <v/>
      </c>
      <c r="G76" s="153">
        <f>IF($P76="","",INDEX(T_ID,$P76)&amp;"  ·  "&amp;INDEX(T_Task,$P76)&amp;CHAR(10)&amp;"👤 "&amp;INDEX(T_Owner,$P76)&amp;"   🎯 "&amp;IF(ISNUMBER(INDEX(T_Due,$P76)),TEXT(INDEX(T_Due,$P76),"dd/mm/yy"),"—")&amp;IF(INDEX(T_Prio,$P76)="גבוהה","   🔥","")&amp;IF(INDEX(T_Eff,$P76)="תקוע","   ⛔ תקוע",""))</f>
        <v/>
      </c>
      <c r="K76">
        <f>IFERROR(IF(SMALL(T_Kan,COUNTIF(T_Kan,"&lt;"&amp;1*100000)+71)&lt;2*100000,MATCH(SMALL(T_Kan,COUNTIF(T_Kan,"&lt;"&amp;1*100000)+71),T_Kan,0),""),"")</f>
        <v/>
      </c>
      <c r="L76">
        <f>IFERROR(IF(SMALL(T_Kan,COUNTIF(T_Kan,"&lt;"&amp;2*100000)+71)&lt;3*100000,MATCH(SMALL(T_Kan,COUNTIF(T_Kan,"&lt;"&amp;2*100000)+71),T_Kan,0),""),"")</f>
        <v/>
      </c>
      <c r="M76">
        <f>IFERROR(IF(SMALL(T_Kan,COUNTIF(T_Kan,"&lt;"&amp;3*100000)+71)&lt;4*100000,MATCH(SMALL(T_Kan,COUNTIF(T_Kan,"&lt;"&amp;3*100000)+71),T_Kan,0),""),"")</f>
        <v/>
      </c>
      <c r="N76">
        <f>IFERROR(IF(SMALL(T_Kan,COUNTIF(T_Kan,"&lt;"&amp;4*100000)+71)&lt;5*100000,MATCH(SMALL(T_Kan,COUNTIF(T_Kan,"&lt;"&amp;4*100000)+71),T_Kan,0),""),"")</f>
        <v/>
      </c>
      <c r="O76">
        <f>IFERROR(IF(SMALL(T_Kan,COUNTIF(T_Kan,"&lt;"&amp;5*100000)+71)&lt;6*100000,MATCH(SMALL(T_Kan,COUNTIF(T_Kan,"&lt;"&amp;5*100000)+71),T_Kan,0),""),"")</f>
        <v/>
      </c>
      <c r="P76">
        <f>IFERROR(IF(SMALL(T_Kan,COUNTIF(T_Kan,"&lt;"&amp;6*100000)+71)&lt;7*100000,MATCH(SMALL(T_Kan,COUNTIF(T_Kan,"&lt;"&amp;6*100000)+71),T_Kan,0),""),"")</f>
        <v/>
      </c>
    </row>
  </sheetData>
  <mergeCells count="2">
    <mergeCell ref="B2:G2"/>
    <mergeCell ref="B1:G1"/>
  </mergeCells>
  <conditionalFormatting sqref="B6:B76">
    <cfRule type="expression" priority="1" dxfId="36">
      <formula>B6&lt;&gt;""</formula>
    </cfRule>
  </conditionalFormatting>
  <conditionalFormatting sqref="C6:C76">
    <cfRule type="expression" priority="2" dxfId="37">
      <formula>C6&lt;&gt;""</formula>
    </cfRule>
  </conditionalFormatting>
  <conditionalFormatting sqref="D6:D76">
    <cfRule type="expression" priority="3" dxfId="38">
      <formula>D6&lt;&gt;""</formula>
    </cfRule>
  </conditionalFormatting>
  <conditionalFormatting sqref="E6:E76">
    <cfRule type="expression" priority="4" dxfId="39">
      <formula>E6&lt;&gt;""</formula>
    </cfRule>
  </conditionalFormatting>
  <conditionalFormatting sqref="F6:F76">
    <cfRule type="expression" priority="5" dxfId="40">
      <formula>F6&lt;&gt;""</formula>
    </cfRule>
  </conditionalFormatting>
  <conditionalFormatting sqref="G6:G76">
    <cfRule type="expression" priority="6" dxfId="41">
      <formula>G6&lt;&gt;""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9C46A"/>
    <outlinePr summaryBelow="1" summaryRight="1"/>
    <pageSetUpPr fitToPage="1"/>
  </sheetPr>
  <dimension ref="A1:J16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15" customWidth="1" min="3" max="3"/>
    <col width="15" customWidth="1" min="4" max="4"/>
    <col width="15" customWidth="1" min="5" max="5"/>
    <col width="12" customWidth="1" min="6" max="6"/>
    <col width="14" customWidth="1" min="7" max="7"/>
    <col width="34" customWidth="1" min="8" max="8"/>
    <col width="24" customWidth="1" min="9" max="9"/>
    <col hidden="1" width="8" customWidth="1" min="10" max="10"/>
  </cols>
  <sheetData>
    <row r="1" ht="38" customHeight="1">
      <c r="A1" s="1" t="inlineStr">
        <is>
          <t>🏁 אבני דרך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3" t="inlineStr">
        <is>
          <t>התאריך הפעיל מחושב לפי התרחיש שנבחר בלוח הבקרה · מצב מחושב אוטומטית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4" ht="30" customHeight="1">
      <c r="A4" s="102" t="inlineStr">
        <is>
          <t>#</t>
        </is>
      </c>
      <c r="B4" s="102" t="inlineStr">
        <is>
          <t>אבן דרך</t>
        </is>
      </c>
      <c r="C4" s="102" t="inlineStr">
        <is>
          <t>מוקדם (מפתח 1.12)</t>
        </is>
      </c>
      <c r="D4" s="102" t="inlineStr">
        <is>
          <t>מאוחר (מפתח 5.1)</t>
        </is>
      </c>
      <c r="E4" s="102" t="inlineStr">
        <is>
          <t>📍 תאריך פעיל</t>
        </is>
      </c>
      <c r="F4" s="102" t="inlineStr">
        <is>
          <t>⏳ ימים שנותרו</t>
        </is>
      </c>
      <c r="G4" s="102" t="inlineStr">
        <is>
          <t>מצב</t>
        </is>
      </c>
      <c r="H4" s="102" t="inlineStr">
        <is>
          <t>תנאי / משימות</t>
        </is>
      </c>
      <c r="I4" s="102" t="inlineStr">
        <is>
          <t>הערות</t>
        </is>
      </c>
      <c r="J4" s="102" t="inlineStr">
        <is>
          <t>_key</t>
        </is>
      </c>
    </row>
    <row r="5">
      <c r="A5" s="171" t="inlineStr">
        <is>
          <t>M1</t>
        </is>
      </c>
      <c r="B5" s="172" t="inlineStr">
        <is>
          <t>תקציב + יעד זמן הוחלטו</t>
        </is>
      </c>
      <c r="C5" s="173" t="n">
        <v>46317</v>
      </c>
      <c r="D5" s="173" t="n">
        <v>46317</v>
      </c>
      <c r="E5" s="174">
        <f>IF(C5="","",IF(AND(KeyActual&lt;&gt;"",C5&lt;&gt;D5),C5+(KeyActual-KeyA),IF(Scenario="B",D5,C5)))</f>
        <v/>
      </c>
      <c r="F5" s="175">
        <f>IF(E5="","",E5-Today_)</f>
        <v/>
      </c>
      <c r="G5" s="175">
        <f>IF(E5="","",IF(E5&lt;Today_,"✔ המועד עבר",IF(E5-Today_&lt;=14,"⚠ בקרוב","⏳ עתידי")))</f>
        <v/>
      </c>
      <c r="H5" s="172" t="inlineStr">
        <is>
          <t>T-001,T-002</t>
        </is>
      </c>
      <c r="I5" s="172" t="n"/>
      <c r="J5" s="172">
        <f>IF(E5="","",IF(E5&gt;=Today_,E5+ROW()/100000,""))</f>
        <v/>
      </c>
    </row>
    <row r="6">
      <c r="A6" s="171" t="inlineStr">
        <is>
          <t>M2</t>
        </is>
      </c>
      <c r="B6" s="172" t="inlineStr">
        <is>
          <t>אנשי מקצוע נבחרו</t>
        </is>
      </c>
      <c r="C6" s="173" t="n">
        <v>46334</v>
      </c>
      <c r="D6" s="173" t="n">
        <v>46334</v>
      </c>
      <c r="E6" s="174">
        <f>IF(C6="","",IF(AND(KeyActual&lt;&gt;"",C6&lt;&gt;D6),C6+(KeyActual-KeyA),IF(Scenario="B",D6,C6)))</f>
        <v/>
      </c>
      <c r="F6" s="175">
        <f>IF(E6="","",E6-Today_)</f>
        <v/>
      </c>
      <c r="G6" s="175">
        <f>IF(E6="","",IF(E6&lt;Today_,"✔ המועד עבר",IF(E6-Today_&lt;=14,"⚠ בקרוב","⏳ עתידי")))</f>
        <v/>
      </c>
      <c r="H6" s="172" t="inlineStr">
        <is>
          <t>T-010</t>
        </is>
      </c>
      <c r="I6" s="172" t="n"/>
      <c r="J6" s="172">
        <f>IF(E6="","",IF(E6&gt;=Today_,E6+ROW()/100000,""))</f>
        <v/>
      </c>
    </row>
    <row r="7">
      <c r="A7" s="171" t="inlineStr">
        <is>
          <t>M3</t>
        </is>
      </c>
      <c r="B7" s="172" t="inlineStr">
        <is>
          <t>תאריך פינוי מאומת + בירור הארכה</t>
        </is>
      </c>
      <c r="C7" s="173" t="n">
        <v>46315</v>
      </c>
      <c r="D7" s="173" t="n">
        <v>46315</v>
      </c>
      <c r="E7" s="174">
        <f>IF(C7="","",IF(AND(KeyActual&lt;&gt;"",C7&lt;&gt;D7),C7+(KeyActual-KeyA),IF(Scenario="B",D7,C7)))</f>
        <v/>
      </c>
      <c r="F7" s="175">
        <f>IF(E7="","",E7-Today_)</f>
        <v/>
      </c>
      <c r="G7" s="175">
        <f>IF(E7="","",IF(E7&lt;Today_,"✔ המועד עבר",IF(E7-Today_&lt;=14,"⚠ בקרוב","⏳ עתידי")))</f>
        <v/>
      </c>
      <c r="H7" s="172" t="inlineStr">
        <is>
          <t>T-060</t>
        </is>
      </c>
      <c r="I7" s="172" t="n"/>
      <c r="J7" s="172">
        <f>IF(E7="","",IF(E7&gt;=Today_,E7+ROW()/100000,""))</f>
        <v/>
      </c>
    </row>
    <row r="8">
      <c r="A8" s="171" t="inlineStr">
        <is>
          <t>M3b</t>
        </is>
      </c>
      <c r="B8" s="172" t="inlineStr">
        <is>
          <t>שער החלטה A/B</t>
        </is>
      </c>
      <c r="C8" s="173" t="n">
        <v>46336</v>
      </c>
      <c r="D8" s="173" t="n">
        <v>46336</v>
      </c>
      <c r="E8" s="174">
        <f>IF(C8="","",IF(AND(KeyActual&lt;&gt;"",C8&lt;&gt;D8),C8+(KeyActual-KeyA),IF(Scenario="B",D8,C8)))</f>
        <v/>
      </c>
      <c r="F8" s="175">
        <f>IF(E8="","",E8-Today_)</f>
        <v/>
      </c>
      <c r="G8" s="175">
        <f>IF(E8="","",IF(E8&lt;Today_,"✔ המועד עבר",IF(E8-Today_&lt;=14,"⚠ בקרוב","⏳ עתידי")))</f>
        <v/>
      </c>
      <c r="H8" s="172" t="inlineStr">
        <is>
          <t>T-101</t>
        </is>
      </c>
      <c r="I8" s="172" t="n"/>
      <c r="J8" s="172">
        <f>IF(E8="","",IF(E8&gt;=Today_,E8+ROW()/100000,""))</f>
        <v/>
      </c>
    </row>
    <row r="9">
      <c r="A9" s="171" t="inlineStr">
        <is>
          <t>M3c</t>
        </is>
      </c>
      <c r="B9" s="172" t="inlineStr">
        <is>
          <t>פינוי הדירה השכורה (לא אומת)</t>
        </is>
      </c>
      <c r="C9" s="173" t="n">
        <v>46357</v>
      </c>
      <c r="D9" s="173" t="n">
        <v>46357</v>
      </c>
      <c r="E9" s="174">
        <f>IF(C9="","",IF(AND(KeyActual&lt;&gt;"",C9&lt;&gt;D9),C9+(KeyActual-KeyA),IF(Scenario="B",D9,C9)))</f>
        <v/>
      </c>
      <c r="F9" s="175">
        <f>IF(E9="","",E9-Today_)</f>
        <v/>
      </c>
      <c r="G9" s="175">
        <f>IF(E9="","",IF(E9&lt;Today_,"✔ המועד עבר",IF(E9-Today_&lt;=14,"⚠ בקרוב","⏳ עתידי")))</f>
        <v/>
      </c>
      <c r="H9" s="172" t="inlineStr">
        <is>
          <t>T-069,T-100</t>
        </is>
      </c>
      <c r="I9" s="172" t="n"/>
      <c r="J9" s="172">
        <f>IF(E9="","",IF(E9&gt;=Today_,E9+ROW()/100000,""))</f>
        <v/>
      </c>
    </row>
    <row r="10">
      <c r="A10" s="171" t="inlineStr">
        <is>
          <t>M4</t>
        </is>
      </c>
      <c r="B10" s="172" t="inlineStr">
        <is>
          <t>היתכנות: מודד+ועדה+מהנדס</t>
        </is>
      </c>
      <c r="C10" s="173" t="n">
        <v>46356</v>
      </c>
      <c r="D10" s="173" t="n">
        <v>46356</v>
      </c>
      <c r="E10" s="174">
        <f>IF(C10="","",IF(AND(KeyActual&lt;&gt;"",C10&lt;&gt;D10),C10+(KeyActual-KeyA),IF(Scenario="B",D10,C10)))</f>
        <v/>
      </c>
      <c r="F10" s="175">
        <f>IF(E10="","",E10-Today_)</f>
        <v/>
      </c>
      <c r="G10" s="175">
        <f>IF(E10="","",IF(E10&lt;Today_,"✔ המועד עבר",IF(E10-Today_&lt;=14,"⚠ בקרוב","⏳ עתידי")))</f>
        <v/>
      </c>
      <c r="H10" s="172" t="inlineStr">
        <is>
          <t>T-011–T-013</t>
        </is>
      </c>
      <c r="I10" s="172" t="n"/>
      <c r="J10" s="172">
        <f>IF(E10="","",IF(E10&gt;=Today_,E10+ROW()/100000,""))</f>
        <v/>
      </c>
    </row>
    <row r="11">
      <c r="A11" s="171" t="inlineStr">
        <is>
          <t>M5</t>
        </is>
      </c>
      <c r="B11" s="172" t="inlineStr">
        <is>
          <t>החלטות מטבח/מרפסת/קליניקה</t>
        </is>
      </c>
      <c r="C11" s="173" t="n">
        <v>46376</v>
      </c>
      <c r="D11" s="173" t="n">
        <v>46376</v>
      </c>
      <c r="E11" s="174">
        <f>IF(C11="","",IF(AND(KeyActual&lt;&gt;"",C11&lt;&gt;D11),C11+(KeyActual-KeyA),IF(Scenario="B",D11,C11)))</f>
        <v/>
      </c>
      <c r="F11" s="175">
        <f>IF(E11="","",E11-Today_)</f>
        <v/>
      </c>
      <c r="G11" s="175">
        <f>IF(E11="","",IF(E11&lt;Today_,"✔ המועד עבר",IF(E11-Today_&lt;=14,"⚠ בקרוב","⏳ עתידי")))</f>
        <v/>
      </c>
      <c r="H11" s="172" t="inlineStr">
        <is>
          <t>T-020–T-022</t>
        </is>
      </c>
      <c r="I11" s="172" t="n"/>
      <c r="J11" s="172">
        <f>IF(E11="","",IF(E11&gt;=Today_,E11+ROW()/100000,""))</f>
        <v/>
      </c>
    </row>
    <row r="12">
      <c r="A12" s="171" t="inlineStr">
        <is>
          <t>M6</t>
        </is>
      </c>
      <c r="B12" s="172" t="inlineStr">
        <is>
          <t>מפתח</t>
        </is>
      </c>
      <c r="C12" s="173" t="n">
        <v>46357</v>
      </c>
      <c r="D12" s="173" t="n">
        <v>46392</v>
      </c>
      <c r="E12" s="174">
        <f>IF(C12="","",IF(AND(KeyActual&lt;&gt;"",C12&lt;&gt;D12),C12+(KeyActual-KeyA),IF(Scenario="B",D12,C12)))</f>
        <v/>
      </c>
      <c r="F12" s="175">
        <f>IF(E12="","",E12-Today_)</f>
        <v/>
      </c>
      <c r="G12" s="175">
        <f>IF(E12="","",IF(E12&lt;Today_,"✔ המועד עבר",IF(E12-Today_&lt;=14,"⚠ בקרוב","⏳ עתידי")))</f>
        <v/>
      </c>
      <c r="H12" s="172" t="inlineStr">
        <is>
          <t>T-050</t>
        </is>
      </c>
      <c r="I12" s="172" t="n"/>
      <c r="J12" s="172">
        <f>IF(E12="","",IF(E12&gt;=Today_,E12+ROW()/100000,""))</f>
        <v/>
      </c>
    </row>
    <row r="13">
      <c r="A13" s="171" t="inlineStr">
        <is>
          <t>M7</t>
        </is>
      </c>
      <c r="B13" s="172" t="inlineStr">
        <is>
          <t>חוזה קבלן חתום</t>
        </is>
      </c>
      <c r="C13" s="173" t="n">
        <v>46367</v>
      </c>
      <c r="D13" s="173" t="n">
        <v>46402</v>
      </c>
      <c r="E13" s="174">
        <f>IF(C13="","",IF(AND(KeyActual&lt;&gt;"",C13&lt;&gt;D13),C13+(KeyActual-KeyA),IF(Scenario="B",D13,C13)))</f>
        <v/>
      </c>
      <c r="F13" s="175">
        <f>IF(E13="","",E13-Today_)</f>
        <v/>
      </c>
      <c r="G13" s="175">
        <f>IF(E13="","",IF(E13&lt;Today_,"✔ המועד עבר",IF(E13-Today_&lt;=14,"⚠ בקרוב","⏳ עתידי")))</f>
        <v/>
      </c>
      <c r="H13" s="172" t="inlineStr">
        <is>
          <t>T-031</t>
        </is>
      </c>
      <c r="I13" s="172" t="n"/>
      <c r="J13" s="172">
        <f>IF(E13="","",IF(E13&gt;=Today_,E13+ROW()/100000,""))</f>
        <v/>
      </c>
    </row>
    <row r="14">
      <c r="A14" s="171" t="inlineStr">
        <is>
          <t>M8</t>
        </is>
      </c>
      <c r="B14" s="172" t="inlineStr">
        <is>
          <t>סיום שלד/פתחים + הכנות מיזוג</t>
        </is>
      </c>
      <c r="C14" s="173" t="n">
        <v>46392</v>
      </c>
      <c r="D14" s="173" t="n">
        <v>46427</v>
      </c>
      <c r="E14" s="174">
        <f>IF(C14="","",IF(AND(KeyActual&lt;&gt;"",C14&lt;&gt;D14),C14+(KeyActual-KeyA),IF(Scenario="B",D14,C14)))</f>
        <v/>
      </c>
      <c r="F14" s="175">
        <f>IF(E14="","",E14-Today_)</f>
        <v/>
      </c>
      <c r="G14" s="175">
        <f>IF(E14="","",IF(E14&lt;Today_,"✔ המועד עבר",IF(E14-Today_&lt;=14,"⚠ בקרוב","⏳ עתידי")))</f>
        <v/>
      </c>
      <c r="H14" s="172" t="inlineStr">
        <is>
          <t>T-043,T-051 (הנחה)</t>
        </is>
      </c>
      <c r="I14" s="172" t="n"/>
      <c r="J14" s="172">
        <f>IF(E14="","",IF(E14&gt;=Today_,E14+ROW()/100000,""))</f>
        <v/>
      </c>
    </row>
    <row r="15">
      <c r="A15" s="171" t="inlineStr">
        <is>
          <t>M9</t>
        </is>
      </c>
      <c r="B15" s="172" t="inlineStr">
        <is>
          <t>סיום גמר + מטבח</t>
        </is>
      </c>
      <c r="C15" s="173" t="n">
        <v>46434</v>
      </c>
      <c r="D15" s="173" t="n">
        <v>46469</v>
      </c>
      <c r="E15" s="174">
        <f>IF(C15="","",IF(AND(KeyActual&lt;&gt;"",C15&lt;&gt;D15),C15+(KeyActual-KeyA),IF(Scenario="B",D15,C15)))</f>
        <v/>
      </c>
      <c r="F15" s="175">
        <f>IF(E15="","",E15-Today_)</f>
        <v/>
      </c>
      <c r="G15" s="175">
        <f>IF(E15="","",IF(E15&lt;Today_,"✔ המועד עבר",IF(E15-Today_&lt;=14,"⚠ בקרוב","⏳ עתידי")))</f>
        <v/>
      </c>
      <c r="H15" s="172" t="inlineStr">
        <is>
          <t>T-053,T-058 (הנחה)</t>
        </is>
      </c>
      <c r="I15" s="172" t="n"/>
      <c r="J15" s="172">
        <f>IF(E15="","",IF(E15&gt;=Today_,E15+ROW()/100000,""))</f>
        <v/>
      </c>
    </row>
    <row r="16">
      <c r="A16" s="171" t="inlineStr">
        <is>
          <t>M10</t>
        </is>
      </c>
      <c r="B16" s="172" t="inlineStr">
        <is>
          <t>כניסה לבית</t>
        </is>
      </c>
      <c r="C16" s="173" t="n">
        <v>46358</v>
      </c>
      <c r="D16" s="173" t="n">
        <v>46397</v>
      </c>
      <c r="E16" s="174">
        <f>IF(C16="","",IF(AND(KeyActual&lt;&gt;"",C16&lt;&gt;D16),C16+(KeyActual-KeyA),IF(Scenario="B",D16,C16)))</f>
        <v/>
      </c>
      <c r="F16" s="175">
        <f>IF(E16="","",E16-Today_)</f>
        <v/>
      </c>
      <c r="G16" s="175">
        <f>IF(E16="","",IF(E16&lt;Today_,"✔ המועד עבר",IF(E16-Today_&lt;=14,"⚠ בקרוב","⏳ עתידי")))</f>
        <v/>
      </c>
      <c r="H16" s="172" t="inlineStr">
        <is>
          <t>A: מיד אחרי מפתח; B: אחרי ~חודש ביניים (T-123)</t>
        </is>
      </c>
      <c r="I16" s="172" t="n"/>
      <c r="J16" s="172">
        <f>IF(E16="","",IF(E16&gt;=Today_,E16+ROW()/100000,""))</f>
        <v/>
      </c>
    </row>
  </sheetData>
  <mergeCells count="2">
    <mergeCell ref="A1:J1"/>
    <mergeCell ref="A2:J2"/>
  </mergeCells>
  <conditionalFormatting sqref="A5:I16">
    <cfRule type="expression" priority="1" dxfId="12">
      <formula>AND($A5&lt;&gt;"",MOD(ROW(),2)=0)</formula>
    </cfRule>
    <cfRule type="expression" priority="4" dxfId="42">
      <formula>$A5="M6"</formula>
    </cfRule>
  </conditionalFormatting>
  <conditionalFormatting sqref="G5:G16">
    <cfRule type="expression" priority="2" dxfId="4">
      <formula>LEFT($G5,1)="⚠"</formula>
    </cfRule>
    <cfRule type="expression" priority="3" dxfId="43">
      <formula>LEFT($G5,1)="✔"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K16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24" customWidth="1" min="4" max="4"/>
    <col width="12" customWidth="1" min="5" max="5"/>
    <col width="14" customWidth="1" min="6" max="6"/>
    <col width="14" customWidth="1" min="7" max="7"/>
    <col width="12" customWidth="1" min="8" max="8"/>
    <col width="11" customWidth="1" min="9" max="9"/>
    <col width="26" customWidth="1" min="10" max="10"/>
    <col hidden="1" width="8" customWidth="1" min="11" max="11"/>
  </cols>
  <sheetData>
    <row r="1" ht="38" customHeight="1">
      <c r="A1" s="176" t="inlineStr">
        <is>
          <t>⚖️ 10 ההחלטות הקריטיות (+ החלטת A/B)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</row>
    <row r="2" ht="20" customHeight="1">
      <c r="A2" s="3" t="inlineStr">
        <is>
          <t>לפי top10_decisions.md (עודכן לפי תב"ע 227/2) · אחראי, יעד ומצב נמשכים אוטומטית מהמשימה המקושרת · ניתן לשנות את המשימה המקושרת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4" ht="30" customHeight="1">
      <c r="A4" s="177" t="inlineStr">
        <is>
          <t>#</t>
        </is>
      </c>
      <c r="B4" s="177" t="inlineStr">
        <is>
          <t>🧭 החלטה</t>
        </is>
      </c>
      <c r="C4" s="177" t="inlineStr">
        <is>
          <t>למה עכשיו</t>
        </is>
      </c>
      <c r="D4" s="177" t="inlineStr">
        <is>
          <t>תלות / מועד</t>
        </is>
      </c>
      <c r="E4" s="177" t="inlineStr">
        <is>
          <t>🔗 משימה ראשית</t>
        </is>
      </c>
      <c r="F4" s="177" t="inlineStr">
        <is>
          <t>משימות קשורות</t>
        </is>
      </c>
      <c r="G4" s="177" t="inlineStr">
        <is>
          <t>👤 אחראי</t>
        </is>
      </c>
      <c r="H4" s="177" t="inlineStr">
        <is>
          <t>🎯 יעד (פעיל)</t>
        </is>
      </c>
      <c r="I4" s="177" t="inlineStr">
        <is>
          <t>⚡ מצב</t>
        </is>
      </c>
      <c r="J4" s="177" t="inlineStr">
        <is>
          <t>הערות</t>
        </is>
      </c>
      <c r="K4" s="177" t="inlineStr">
        <is>
          <t>_key</t>
        </is>
      </c>
    </row>
    <row r="5">
      <c r="A5" s="178" t="n">
        <v>1</v>
      </c>
      <c r="B5" s="106" t="inlineStr">
        <is>
          <t>תקציב כולל + רזרבה + סדר עדיפויות</t>
        </is>
      </c>
      <c r="C5" s="105" t="inlineStr">
        <is>
          <t>בלעדיו אין תעדוף</t>
        </is>
      </c>
      <c r="D5" s="105" t="inlineStr">
        <is>
          <t>מיידי; אריאל</t>
        </is>
      </c>
      <c r="E5" s="179" t="inlineStr">
        <is>
          <t>T-001</t>
        </is>
      </c>
      <c r="F5" s="105" t="inlineStr"/>
      <c r="G5" s="108">
        <f>IFERROR(INDEX(T_Owner,MATCH(E5,T_ID,0)),"")</f>
        <v/>
      </c>
      <c r="H5" s="113">
        <f>IFERROR(INDEX(T_Due,MATCH(E5,T_ID,0)),"")</f>
        <v/>
      </c>
      <c r="I5" s="108">
        <f>IFERROR(INDEX(T_Eff,MATCH(E5,T_ID,0)),"")</f>
        <v/>
      </c>
      <c r="J5" s="105" t="n"/>
      <c r="K5" s="105">
        <f>IF(OR(I5="",I5="הושלם",I5="בוטל",H5=""),"",H5+ROW()/100000)</f>
        <v/>
      </c>
    </row>
    <row r="6">
      <c r="A6" s="178" t="n">
        <v>2</v>
      </c>
      <c r="B6" s="106" t="inlineStr">
        <is>
          <t>השגת היתר קיים + תצ"ר/חלוקה + חישוב זכויות של 823/3</t>
        </is>
      </c>
      <c r="C6" s="105" t="inlineStr">
        <is>
          <t>קובע אם בכלל יש מ"ר לסגירת מרפסת/תוספות</t>
        </is>
      </c>
      <c r="D6" s="105" t="inlineStr">
        <is>
          <t>מיידי; אדריכל/ארכיון הוועדה</t>
        </is>
      </c>
      <c r="E6" s="179" t="inlineStr">
        <is>
          <t>T-003</t>
        </is>
      </c>
      <c r="F6" s="105" t="inlineStr">
        <is>
          <t>T-011,T-012</t>
        </is>
      </c>
      <c r="G6" s="108">
        <f>IFERROR(INDEX(T_Owner,MATCH(E6,T_ID,0)),"")</f>
        <v/>
      </c>
      <c r="H6" s="113">
        <f>IFERROR(INDEX(T_Due,MATCH(E6,T_ID,0)),"")</f>
        <v/>
      </c>
      <c r="I6" s="108">
        <f>IFERROR(INDEX(T_Eff,MATCH(E6,T_ID,0)),"")</f>
        <v/>
      </c>
      <c r="J6" s="105" t="n"/>
      <c r="K6" s="105">
        <f>IF(OR(I6="",I6="הושלם",I6="בוטל",H6=""),"",H6+ROW()/100000)</f>
        <v/>
      </c>
    </row>
    <row r="7">
      <c r="A7" s="178" t="n">
        <v>3</v>
      </c>
      <c r="B7" s="106" t="inlineStr">
        <is>
          <t>היקף אנשי מקצוע (אדריכל רישוי, מהנדס, מודד)</t>
        </is>
      </c>
      <c r="C7" s="105" t="inlineStr">
        <is>
          <t>נדרש להיתר (תכנית עיצוב, פיתוח, מדידה — פרק ה')</t>
        </is>
      </c>
      <c r="D7" s="105" t="inlineStr">
        <is>
          <t>לפני שלב 1</t>
        </is>
      </c>
      <c r="E7" s="179" t="inlineStr">
        <is>
          <t>T-010</t>
        </is>
      </c>
      <c r="F7" s="105" t="inlineStr"/>
      <c r="G7" s="108">
        <f>IFERROR(INDEX(T_Owner,MATCH(E7,T_ID,0)),"")</f>
        <v/>
      </c>
      <c r="H7" s="113">
        <f>IFERROR(INDEX(T_Due,MATCH(E7,T_ID,0)),"")</f>
        <v/>
      </c>
      <c r="I7" s="108">
        <f>IFERROR(INDEX(T_Eff,MATCH(E7,T_ID,0)),"")</f>
        <v/>
      </c>
      <c r="J7" s="105" t="n"/>
      <c r="K7" s="105">
        <f>IF(OR(I7="",I7="הושלם",I7="בוטל",H7=""),"",H7+ROW()/100000)</f>
        <v/>
      </c>
    </row>
    <row r="8">
      <c r="A8" s="178" t="n">
        <v>4</v>
      </c>
      <c r="B8" s="106" t="inlineStr">
        <is>
          <t>ללכת או לא לפגישת היתכנות מול הוועדה (מטה בנימין) על קליניקה + מחסן</t>
        </is>
      </c>
      <c r="C8" s="105" t="inlineStr">
        <is>
          <t>הקליניקה לא מותרת לכאורה; מחסן בקו 0 לא מותר במגורים ב'</t>
        </is>
      </c>
      <c r="D8" s="105" t="inlineStr">
        <is>
          <t>אחרי 2; לפני כל תכנון קליניקה</t>
        </is>
      </c>
      <c r="E8" s="179" t="inlineStr">
        <is>
          <t>T-012</t>
        </is>
      </c>
      <c r="F8" s="105" t="inlineStr">
        <is>
          <t>T-021</t>
        </is>
      </c>
      <c r="G8" s="108">
        <f>IFERROR(INDEX(T_Owner,MATCH(E8,T_ID,0)),"")</f>
        <v/>
      </c>
      <c r="H8" s="113">
        <f>IFERROR(INDEX(T_Due,MATCH(E8,T_ID,0)),"")</f>
        <v/>
      </c>
      <c r="I8" s="108">
        <f>IFERROR(INDEX(T_Eff,MATCH(E8,T_ID,0)),"")</f>
        <v/>
      </c>
      <c r="J8" s="105" t="n"/>
      <c r="K8" s="105">
        <f>IF(OR(I8="",I8="הושלם",I8="בוטל",H8=""),"",H8+ROW()/100000)</f>
        <v/>
      </c>
    </row>
    <row r="9">
      <c r="A9" s="178" t="n">
        <v>5</v>
      </c>
      <c r="B9" s="106" t="inlineStr">
        <is>
          <t>מודד: גבולות 823/3, חזית/צד/אחור, שטח פלישה</t>
        </is>
      </c>
      <c r="C9" s="105" t="inlineStr">
        <is>
          <t>קווי 5/3 מ' נמדדים מהגבולות</t>
        </is>
      </c>
      <c r="D9" s="105" t="inlineStr">
        <is>
          <t>במקביל ל-4</t>
        </is>
      </c>
      <c r="E9" s="179" t="inlineStr">
        <is>
          <t>T-011</t>
        </is>
      </c>
      <c r="F9" s="105" t="inlineStr"/>
      <c r="G9" s="108">
        <f>IFERROR(INDEX(T_Owner,MATCH(E9,T_ID,0)),"")</f>
        <v/>
      </c>
      <c r="H9" s="113">
        <f>IFERROR(INDEX(T_Due,MATCH(E9,T_ID,0)),"")</f>
        <v/>
      </c>
      <c r="I9" s="108">
        <f>IFERROR(INDEX(T_Eff,MATCH(E9,T_ID,0)),"")</f>
        <v/>
      </c>
      <c r="J9" s="105" t="n"/>
      <c r="K9" s="105">
        <f>IF(OR(I9="",I9="הושלם",I9="בוטל",H9=""),"",H9+ROW()/100000)</f>
        <v/>
      </c>
    </row>
    <row r="10">
      <c r="A10" s="178" t="n">
        <v>6</v>
      </c>
      <c r="B10" s="106" t="inlineStr">
        <is>
          <t>חלופה לקליניקה אם תסורב: בתוך קווי הבניין/בתוך הבית, או ויתור</t>
        </is>
      </c>
      <c r="C10" s="105" t="inlineStr">
        <is>
          <t>אחרת כל תכנון החצר תקוע</t>
        </is>
      </c>
      <c r="D10" s="105" t="inlineStr">
        <is>
          <t>אחרי 4</t>
        </is>
      </c>
      <c r="E10" s="179" t="inlineStr">
        <is>
          <t>T-021</t>
        </is>
      </c>
      <c r="F10" s="105" t="inlineStr">
        <is>
          <t>T-012</t>
        </is>
      </c>
      <c r="G10" s="108">
        <f>IFERROR(INDEX(T_Owner,MATCH(E10,T_ID,0)),"")</f>
        <v/>
      </c>
      <c r="H10" s="113">
        <f>IFERROR(INDEX(T_Due,MATCH(E10,T_ID,0)),"")</f>
        <v/>
      </c>
      <c r="I10" s="108">
        <f>IFERROR(INDEX(T_Eff,MATCH(E10,T_ID,0)),"")</f>
        <v/>
      </c>
      <c r="J10" s="105" t="n"/>
      <c r="K10" s="105">
        <f>IF(OR(I10="",I10="הושלם",I10="בוטל",H10=""),"",H10+ROW()/100000)</f>
        <v/>
      </c>
    </row>
    <row r="11">
      <c r="A11" s="178" t="n">
        <v>7</v>
      </c>
      <c r="B11" s="106" t="inlineStr">
        <is>
          <t>אילו חלונות בסלון להרחיב (מהנדס + עמידה בחזית אבן/טיח)</t>
        </is>
      </c>
      <c r="C11" s="105" t="inlineStr">
        <is>
          <t>בלתי הפיך; לא דורש זכויות בנייה אבל כן היתר לשינוי חזית (לאמת)</t>
        </is>
      </c>
      <c r="D11" s="105" t="inlineStr">
        <is>
          <t>אחרי תוכניות קבלן</t>
        </is>
      </c>
      <c r="E11" s="179" t="inlineStr">
        <is>
          <t>T-013</t>
        </is>
      </c>
      <c r="F11" s="105" t="inlineStr">
        <is>
          <t>T-003,T-033</t>
        </is>
      </c>
      <c r="G11" s="108">
        <f>IFERROR(INDEX(T_Owner,MATCH(E11,T_ID,0)),"")</f>
        <v/>
      </c>
      <c r="H11" s="113">
        <f>IFERROR(INDEX(T_Due,MATCH(E11,T_ID,0)),"")</f>
        <v/>
      </c>
      <c r="I11" s="108">
        <f>IFERROR(INDEX(T_Eff,MATCH(E11,T_ID,0)),"")</f>
        <v/>
      </c>
      <c r="J11" s="105" t="n"/>
      <c r="K11" s="105">
        <f>IF(OR(I11="",I11="הושלם",I11="בוטל",H11=""),"",H11+ROW()/100000)</f>
        <v/>
      </c>
    </row>
    <row r="12">
      <c r="A12" s="178" t="n">
        <v>8</v>
      </c>
      <c r="B12" s="106" t="inlineStr">
        <is>
          <t>היקף סגירת מרפסת ההורים — לפי יתרת זכויות</t>
        </is>
      </c>
      <c r="C12" s="105" t="inlineStr">
        <is>
          <t>נספר ב-190 מ"ר; פרגולה לא סוגרים</t>
        </is>
      </c>
      <c r="D12" s="105" t="inlineStr">
        <is>
          <t>אחרי 2</t>
        </is>
      </c>
      <c r="E12" s="179" t="inlineStr">
        <is>
          <t>T-020</t>
        </is>
      </c>
      <c r="F12" s="105" t="inlineStr">
        <is>
          <t>T-012</t>
        </is>
      </c>
      <c r="G12" s="108">
        <f>IFERROR(INDEX(T_Owner,MATCH(E12,T_ID,0)),"")</f>
        <v/>
      </c>
      <c r="H12" s="113">
        <f>IFERROR(INDEX(T_Due,MATCH(E12,T_ID,0)),"")</f>
        <v/>
      </c>
      <c r="I12" s="108">
        <f>IFERROR(INDEX(T_Eff,MATCH(E12,T_ID,0)),"")</f>
        <v/>
      </c>
      <c r="J12" s="105" t="n"/>
      <c r="K12" s="105">
        <f>IF(OR(I12="",I12="הושלם",I12="בוטל",H12=""),"",H12+ROW()/100000)</f>
        <v/>
      </c>
    </row>
    <row r="13">
      <c r="A13" s="178" t="n">
        <v>9</v>
      </c>
      <c r="B13" s="106" t="inlineStr">
        <is>
          <t>היקף שיפוץ המטבח + מזווה</t>
        </is>
      </c>
      <c r="C13" s="105" t="inlineStr">
        <is>
          <t>נקודות חשמל-מים ורכש</t>
        </is>
      </c>
      <c r="D13" s="105" t="inlineStr">
        <is>
          <t>לפני מערכות</t>
        </is>
      </c>
      <c r="E13" s="179" t="inlineStr">
        <is>
          <t>T-022</t>
        </is>
      </c>
      <c r="F13" s="105" t="inlineStr">
        <is>
          <t>T-055,T-081</t>
        </is>
      </c>
      <c r="G13" s="108">
        <f>IFERROR(INDEX(T_Owner,MATCH(E13,T_ID,0)),"")</f>
        <v/>
      </c>
      <c r="H13" s="113">
        <f>IFERROR(INDEX(T_Due,MATCH(E13,T_ID,0)),"")</f>
        <v/>
      </c>
      <c r="I13" s="108">
        <f>IFERROR(INDEX(T_Eff,MATCH(E13,T_ID,0)),"")</f>
        <v/>
      </c>
      <c r="J13" s="105" t="n"/>
      <c r="K13" s="105">
        <f>IF(OR(I13="",I13="הושלם",I13="בוטל",H13=""),"",H13+ROW()/100000)</f>
        <v/>
      </c>
    </row>
    <row r="14">
      <c r="A14" s="178" t="n">
        <v>10</v>
      </c>
      <c r="B14" s="106" t="inlineStr">
        <is>
          <t>קונספט חוץ: פרגולה פתוחה (≤50 מ"ר, ≤3 מ'), גדר ≤1.5 מ' בחומר מאושר, גינה 20–50 אלף, 10–30% שטח מחלחל</t>
        </is>
      </c>
      <c r="C14" s="105" t="inlineStr">
        <is>
          <t>תכנית פיתוח היא תנאי להיתר</t>
        </is>
      </c>
      <c r="D14" s="105" t="inlineStr">
        <is>
          <t>לפני מערכות/פיתוח</t>
        </is>
      </c>
      <c r="E14" s="179" t="inlineStr">
        <is>
          <t>T-023</t>
        </is>
      </c>
      <c r="F14" s="105" t="inlineStr">
        <is>
          <t>T-070</t>
        </is>
      </c>
      <c r="G14" s="108">
        <f>IFERROR(INDEX(T_Owner,MATCH(E14,T_ID,0)),"")</f>
        <v/>
      </c>
      <c r="H14" s="113">
        <f>IFERROR(INDEX(T_Due,MATCH(E14,T_ID,0)),"")</f>
        <v/>
      </c>
      <c r="I14" s="108">
        <f>IFERROR(INDEX(T_Eff,MATCH(E14,T_ID,0)),"")</f>
        <v/>
      </c>
      <c r="J14" s="105" t="n"/>
      <c r="K14" s="105">
        <f>IF(OR(I14="",I14="הושלם",I14="בוטל",H14=""),"",H14+ROW()/100000)</f>
        <v/>
      </c>
    </row>
    <row r="15">
      <c r="A15" s="178" t="inlineStr">
        <is>
          <t>A/B</t>
        </is>
      </c>
      <c r="B15" s="106" t="inlineStr">
        <is>
          <t>🔥 דחוף: תרחיש A (נכנסים ישר לבית) או B (מגורי ביניים + אחסון)</t>
        </is>
      </c>
      <c r="C15" s="105" t="inlineStr">
        <is>
          <t>הדירה השכורה מתפנה בתחילת דצמבר</t>
        </is>
      </c>
      <c r="D15" s="105" t="inlineStr">
        <is>
          <t>עד 10.11 (T-101)</t>
        </is>
      </c>
      <c r="E15" s="179" t="inlineStr">
        <is>
          <t>T-101</t>
        </is>
      </c>
      <c r="F15" s="105" t="inlineStr">
        <is>
          <t>T-004,T-060</t>
        </is>
      </c>
      <c r="G15" s="108">
        <f>IFERROR(INDEX(T_Owner,MATCH(E15,T_ID,0)),"")</f>
        <v/>
      </c>
      <c r="H15" s="113">
        <f>IFERROR(INDEX(T_Due,MATCH(E15,T_ID,0)),"")</f>
        <v/>
      </c>
      <c r="I15" s="108">
        <f>IFERROR(INDEX(T_Eff,MATCH(E15,T_ID,0)),"")</f>
        <v/>
      </c>
      <c r="J15" s="105" t="n"/>
      <c r="K15" s="105">
        <f>IF(OR(I15="",I15="הושלם",I15="בוטל",H15=""),"",H15+ROW()/100000)</f>
        <v/>
      </c>
    </row>
    <row r="16">
      <c r="A16" s="178" t="inlineStr">
        <is>
          <t>✔</t>
        </is>
      </c>
      <c r="B16" s="106" t="inlineStr">
        <is>
          <t>התקבלה 11.10: גרים בבית בזמן השיפוץ אם המפתח בתחילת דצמבר</t>
        </is>
      </c>
      <c r="C16" s="105" t="inlineStr">
        <is>
          <t>—</t>
        </is>
      </c>
      <c r="D16" s="105" t="inlineStr">
        <is>
          <t>—</t>
        </is>
      </c>
      <c r="E16" s="179" t="inlineStr">
        <is>
          <t>T-002</t>
        </is>
      </c>
      <c r="F16" s="105" t="inlineStr">
        <is>
          <t>T-110–T-116</t>
        </is>
      </c>
      <c r="G16" s="108">
        <f>IFERROR(INDEX(T_Owner,MATCH(E16,T_ID,0)),"")</f>
        <v/>
      </c>
      <c r="H16" s="113">
        <f>IFERROR(INDEX(T_Due,MATCH(E16,T_ID,0)),"")</f>
        <v/>
      </c>
      <c r="I16" s="108">
        <f>IFERROR(INDEX(T_Eff,MATCH(E16,T_ID,0)),"")</f>
        <v/>
      </c>
      <c r="J16" s="105" t="inlineStr">
        <is>
          <t>החלטה שהתקבלה (במספור הקודם: החלטה #2)</t>
        </is>
      </c>
      <c r="K16" s="105">
        <f>IF(OR(I16="",I16="הושלם",I16="בוטל",H16=""),"",H16+ROW()/100000)</f>
        <v/>
      </c>
    </row>
  </sheetData>
  <mergeCells count="2">
    <mergeCell ref="A2:K2"/>
    <mergeCell ref="A1:K1"/>
  </mergeCells>
  <conditionalFormatting sqref="A5:J16">
    <cfRule type="expression" priority="1" dxfId="12">
      <formula>AND($A5&lt;&gt;"",MOD(ROW(),2)=0)</formula>
    </cfRule>
  </conditionalFormatting>
  <conditionalFormatting sqref="I5:I16">
    <cfRule type="expression" priority="2" dxfId="2" stopIfTrue="0">
      <formula>$I5="לא התחיל"</formula>
    </cfRule>
    <cfRule type="expression" priority="3" dxfId="3" stopIfTrue="0">
      <formula>$I5="בתהליך"</formula>
    </cfRule>
    <cfRule type="expression" priority="4" dxfId="4" stopIfTrue="0">
      <formula>$I5="ממתין"</formula>
    </cfRule>
    <cfRule type="expression" priority="5" dxfId="5" stopIfTrue="0">
      <formula>$I5="תקוע"</formula>
    </cfRule>
    <cfRule type="expression" priority="6" dxfId="6" stopIfTrue="0">
      <formula>$I5="באיחור"</formula>
    </cfRule>
    <cfRule type="expression" priority="7" dxfId="7" stopIfTrue="0">
      <formula>$I5="הושלם"</formula>
    </cfRule>
    <cfRule type="expression" priority="8" dxfId="8" stopIfTrue="0">
      <formula>$I5="בוטל"</formula>
    </cfRule>
  </conditionalFormatting>
  <conditionalFormatting sqref="A5:D16">
    <cfRule type="expression" priority="9" dxfId="44">
      <formula>$A5="A/B"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3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3" customWidth="1" min="4" max="4"/>
    <col width="22" customWidth="1" min="5" max="5"/>
    <col width="12" customWidth="1" min="6" max="6"/>
    <col width="12" customWidth="1" min="7" max="7"/>
    <col width="12" customWidth="1" min="8" max="8"/>
    <col width="13" customWidth="1" min="9" max="9"/>
    <col width="9" customWidth="1" min="10" max="10"/>
    <col width="26" customWidth="1" min="11" max="11"/>
    <col width="9" customWidth="1" min="12" max="12"/>
    <col width="14" customWidth="1" min="13" max="13"/>
  </cols>
  <sheetData>
    <row r="1" ht="38" customHeight="1">
      <c r="A1" s="180" t="inlineStr">
        <is>
          <t>📇 אנשי קשר והצעות מחיר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</row>
    <row r="2" ht="20" customHeight="1">
      <c r="A2" s="3" t="inlineStr">
        <is>
          <t>כלל: 3 הצעות לכל תחום · אין רכישה/הזמנה/פנייה לספק ללא אישור מפורש של אריאל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4" ht="30" customHeight="1">
      <c r="A4" s="181" t="inlineStr">
        <is>
          <t>תחום</t>
        </is>
      </c>
      <c r="B4" s="181" t="inlineStr">
        <is>
          <t>שם</t>
        </is>
      </c>
      <c r="C4" s="181" t="inlineStr">
        <is>
          <t>חברה</t>
        </is>
      </c>
      <c r="D4" s="181" t="inlineStr">
        <is>
          <t>טלפון</t>
        </is>
      </c>
      <c r="E4" s="181" t="inlineStr">
        <is>
          <t>אימייל</t>
        </is>
      </c>
      <c r="F4" s="181" t="inlineStr">
        <is>
          <t>הצעה 1 (₪)</t>
        </is>
      </c>
      <c r="G4" s="181" t="inlineStr">
        <is>
          <t>הצעה 2 (₪)</t>
        </is>
      </c>
      <c r="H4" s="181" t="inlineStr">
        <is>
          <t>הצעה 3 (₪)</t>
        </is>
      </c>
      <c r="I4" s="181" t="inlineStr">
        <is>
          <t>סטטוס</t>
        </is>
      </c>
      <c r="J4" s="181" t="inlineStr">
        <is>
          <t>משימה</t>
        </is>
      </c>
      <c r="K4" s="181" t="inlineStr">
        <is>
          <t>הערות</t>
        </is>
      </c>
      <c r="L4" s="181" t="inlineStr">
        <is>
          <t>מס' הצעות</t>
        </is>
      </c>
      <c r="M4" s="181" t="inlineStr">
        <is>
          <t>💰 הצעה נמוכה (₪)</t>
        </is>
      </c>
    </row>
    <row r="5">
      <c r="A5" s="106" t="inlineStr">
        <is>
          <t>מוכר/יזם — מסירת מפתח</t>
        </is>
      </c>
      <c r="B5" s="105" t="n"/>
      <c r="C5" s="105" t="n"/>
      <c r="D5" s="182" t="n"/>
      <c r="E5" s="105" t="n"/>
      <c r="F5" s="183" t="n"/>
      <c r="G5" s="183" t="n"/>
      <c r="H5" s="183" t="n"/>
      <c r="I5" s="105" t="inlineStr">
        <is>
          <t>לא התחיל</t>
        </is>
      </c>
      <c r="J5" s="105" t="inlineStr">
        <is>
          <t>T-004</t>
        </is>
      </c>
      <c r="K5" s="105" t="n"/>
      <c r="L5" s="108">
        <f>IF(A5="","",COUNT(F5:H5))</f>
        <v/>
      </c>
      <c r="M5" s="184">
        <f>IF(COUNT(F5:H5)=0,"",MIN(F5:H5))</f>
        <v/>
      </c>
    </row>
    <row r="6">
      <c r="A6" s="106" t="inlineStr">
        <is>
          <t>אדריכל רישוי</t>
        </is>
      </c>
      <c r="B6" s="105" t="n"/>
      <c r="C6" s="105" t="n"/>
      <c r="D6" s="182" t="n"/>
      <c r="E6" s="105" t="n"/>
      <c r="F6" s="183" t="n"/>
      <c r="G6" s="183" t="n"/>
      <c r="H6" s="183" t="n"/>
      <c r="I6" s="105" t="inlineStr">
        <is>
          <t>לא התחיל</t>
        </is>
      </c>
      <c r="J6" s="105" t="inlineStr">
        <is>
          <t>T-010</t>
        </is>
      </c>
      <c r="K6" s="105" t="n"/>
      <c r="L6" s="108">
        <f>IF(A6="","",COUNT(F6:H6))</f>
        <v/>
      </c>
      <c r="M6" s="184">
        <f>IF(COUNT(F6:H6)=0,"",MIN(F6:H6))</f>
        <v/>
      </c>
    </row>
    <row r="7">
      <c r="A7" s="106" t="inlineStr">
        <is>
          <t>מהנדס קונסטרוקציה</t>
        </is>
      </c>
      <c r="B7" s="105" t="n"/>
      <c r="C7" s="105" t="n"/>
      <c r="D7" s="182" t="n"/>
      <c r="E7" s="105" t="n"/>
      <c r="F7" s="183" t="n"/>
      <c r="G7" s="183" t="n"/>
      <c r="H7" s="183" t="n"/>
      <c r="I7" s="105" t="inlineStr">
        <is>
          <t>לא התחיל</t>
        </is>
      </c>
      <c r="J7" s="105" t="inlineStr">
        <is>
          <t>T-013</t>
        </is>
      </c>
      <c r="K7" s="105" t="n"/>
      <c r="L7" s="108">
        <f>IF(A7="","",COUNT(F7:H7))</f>
        <v/>
      </c>
      <c r="M7" s="184">
        <f>IF(COUNT(F7:H7)=0,"",MIN(F7:H7))</f>
        <v/>
      </c>
    </row>
    <row r="8">
      <c r="A8" s="106" t="inlineStr">
        <is>
          <t>מודד מוסמך</t>
        </is>
      </c>
      <c r="B8" s="105" t="n"/>
      <c r="C8" s="105" t="n"/>
      <c r="D8" s="182" t="n"/>
      <c r="E8" s="105" t="n"/>
      <c r="F8" s="183" t="n"/>
      <c r="G8" s="183" t="n"/>
      <c r="H8" s="183" t="n"/>
      <c r="I8" s="105" t="inlineStr">
        <is>
          <t>לא התחיל</t>
        </is>
      </c>
      <c r="J8" s="105" t="inlineStr">
        <is>
          <t>T-011</t>
        </is>
      </c>
      <c r="K8" s="105" t="n"/>
      <c r="L8" s="108">
        <f>IF(A8="","",COUNT(F8:H8))</f>
        <v/>
      </c>
      <c r="M8" s="184">
        <f>IF(COUNT(F8:H8)=0,"",MIN(F8:H8))</f>
        <v/>
      </c>
    </row>
    <row r="9">
      <c r="A9" s="106" t="inlineStr">
        <is>
          <t>ועדה מיוחדת מטה בנימין / מהנדס המועצה</t>
        </is>
      </c>
      <c r="B9" s="105" t="n"/>
      <c r="C9" s="105" t="n"/>
      <c r="D9" s="182" t="n"/>
      <c r="E9" s="105" t="n"/>
      <c r="F9" s="183" t="n"/>
      <c r="G9" s="183" t="n"/>
      <c r="H9" s="183" t="n"/>
      <c r="I9" s="105" t="inlineStr">
        <is>
          <t>לא התחיל</t>
        </is>
      </c>
      <c r="J9" s="105" t="inlineStr">
        <is>
          <t>T-012</t>
        </is>
      </c>
      <c r="K9" s="105" t="n"/>
      <c r="L9" s="108">
        <f>IF(A9="","",COUNT(F9:H9))</f>
        <v/>
      </c>
      <c r="M9" s="184">
        <f>IF(COUNT(F9:H9)=0,"",MIN(F9:H9))</f>
        <v/>
      </c>
    </row>
    <row r="10">
      <c r="A10" s="106" t="inlineStr">
        <is>
          <t>קבלן ראשי</t>
        </is>
      </c>
      <c r="B10" s="105" t="n"/>
      <c r="C10" s="105" t="n"/>
      <c r="D10" s="182" t="n"/>
      <c r="E10" s="105" t="n"/>
      <c r="F10" s="183" t="n"/>
      <c r="G10" s="183" t="n"/>
      <c r="H10" s="183" t="n"/>
      <c r="I10" s="105" t="inlineStr">
        <is>
          <t>לא התחיל</t>
        </is>
      </c>
      <c r="J10" s="105" t="inlineStr">
        <is>
          <t>T-030</t>
        </is>
      </c>
      <c r="K10" s="105" t="n"/>
      <c r="L10" s="108">
        <f>IF(A10="","",COUNT(F10:H10))</f>
        <v/>
      </c>
      <c r="M10" s="184">
        <f>IF(COUNT(F10:H10)=0,"",MIN(F10:H10))</f>
        <v/>
      </c>
    </row>
    <row r="11">
      <c r="A11" s="106" t="inlineStr">
        <is>
          <t>חשמלאי</t>
        </is>
      </c>
      <c r="B11" s="105" t="n"/>
      <c r="C11" s="105" t="n"/>
      <c r="D11" s="182" t="n"/>
      <c r="E11" s="105" t="n"/>
      <c r="F11" s="183" t="n"/>
      <c r="G11" s="183" t="n"/>
      <c r="H11" s="183" t="n"/>
      <c r="I11" s="105" t="inlineStr">
        <is>
          <t>לא התחיל</t>
        </is>
      </c>
      <c r="J11" s="105" t="inlineStr">
        <is>
          <t>T-014</t>
        </is>
      </c>
      <c r="K11" s="105" t="n"/>
      <c r="L11" s="108">
        <f>IF(A11="","",COUNT(F11:H11))</f>
        <v/>
      </c>
      <c r="M11" s="184">
        <f>IF(COUNT(F11:H11)=0,"",MIN(F11:H11))</f>
        <v/>
      </c>
    </row>
    <row r="12">
      <c r="A12" s="106" t="inlineStr">
        <is>
          <t>אינסטלטור</t>
        </is>
      </c>
      <c r="B12" s="105" t="n"/>
      <c r="C12" s="105" t="n"/>
      <c r="D12" s="182" t="n"/>
      <c r="E12" s="105" t="n"/>
      <c r="F12" s="183" t="n"/>
      <c r="G12" s="183" t="n"/>
      <c r="H12" s="183" t="n"/>
      <c r="I12" s="105" t="inlineStr">
        <is>
          <t>לא התחיל</t>
        </is>
      </c>
      <c r="J12" s="105" t="inlineStr">
        <is>
          <t>T-014</t>
        </is>
      </c>
      <c r="K12" s="105" t="n"/>
      <c r="L12" s="108">
        <f>IF(A12="","",COUNT(F12:H12))</f>
        <v/>
      </c>
      <c r="M12" s="184">
        <f>IF(COUNT(F12:H12)=0,"",MIN(F12:H12))</f>
        <v/>
      </c>
    </row>
    <row r="13">
      <c r="A13" s="106" t="inlineStr">
        <is>
          <t>מיזוג אוויר</t>
        </is>
      </c>
      <c r="B13" s="105" t="n"/>
      <c r="C13" s="105" t="n"/>
      <c r="D13" s="182" t="n"/>
      <c r="E13" s="105" t="n"/>
      <c r="F13" s="183" t="n"/>
      <c r="G13" s="183" t="n"/>
      <c r="H13" s="183" t="n"/>
      <c r="I13" s="105" t="inlineStr">
        <is>
          <t>לא התחיל</t>
        </is>
      </c>
      <c r="J13" s="105" t="inlineStr">
        <is>
          <t>T-042</t>
        </is>
      </c>
      <c r="K13" s="105" t="n"/>
      <c r="L13" s="108">
        <f>IF(A13="","",COUNT(F13:H13))</f>
        <v/>
      </c>
      <c r="M13" s="184">
        <f>IF(COUNT(F13:H13)=0,"",MIN(F13:H13))</f>
        <v/>
      </c>
    </row>
    <row r="14">
      <c r="A14" s="106" t="inlineStr">
        <is>
          <t>מטבחים</t>
        </is>
      </c>
      <c r="B14" s="105" t="n"/>
      <c r="C14" s="105" t="n"/>
      <c r="D14" s="182" t="n"/>
      <c r="E14" s="105" t="n"/>
      <c r="F14" s="183" t="n"/>
      <c r="G14" s="183" t="n"/>
      <c r="H14" s="183" t="n"/>
      <c r="I14" s="105" t="inlineStr">
        <is>
          <t>לא התחיל</t>
        </is>
      </c>
      <c r="J14" s="105" t="inlineStr">
        <is>
          <t>T-055</t>
        </is>
      </c>
      <c r="K14" s="105" t="n"/>
      <c r="L14" s="108">
        <f>IF(A14="","",COUNT(F14:H14))</f>
        <v/>
      </c>
      <c r="M14" s="184">
        <f>IF(COUNT(F14:H14)=0,"",MIN(F14:H14))</f>
        <v/>
      </c>
    </row>
    <row r="15">
      <c r="A15" s="106" t="inlineStr">
        <is>
          <t>נגר/ארונות</t>
        </is>
      </c>
      <c r="B15" s="105" t="n"/>
      <c r="C15" s="105" t="n"/>
      <c r="D15" s="182" t="n"/>
      <c r="E15" s="105" t="n"/>
      <c r="F15" s="183" t="n"/>
      <c r="G15" s="183" t="n"/>
      <c r="H15" s="183" t="n"/>
      <c r="I15" s="105" t="inlineStr">
        <is>
          <t>לא התחיל</t>
        </is>
      </c>
      <c r="J15" s="105" t="inlineStr">
        <is>
          <t>T-056</t>
        </is>
      </c>
      <c r="K15" s="105" t="n"/>
      <c r="L15" s="108">
        <f>IF(A15="","",COUNT(F15:H15))</f>
        <v/>
      </c>
      <c r="M15" s="184">
        <f>IF(COUNT(F15:H15)=0,"",MIN(F15:H15))</f>
        <v/>
      </c>
    </row>
    <row r="16">
      <c r="A16" s="106" t="inlineStr">
        <is>
          <t>אלומיניום/חלונות</t>
        </is>
      </c>
      <c r="B16" s="105" t="n"/>
      <c r="C16" s="105" t="n"/>
      <c r="D16" s="182" t="n"/>
      <c r="E16" s="105" t="n"/>
      <c r="F16" s="183" t="n"/>
      <c r="G16" s="183" t="n"/>
      <c r="H16" s="183" t="n"/>
      <c r="I16" s="105" t="inlineStr">
        <is>
          <t>לא התחיל</t>
        </is>
      </c>
      <c r="J16" s="105" t="inlineStr">
        <is>
          <t>T-033</t>
        </is>
      </c>
      <c r="K16" s="105" t="n"/>
      <c r="L16" s="108">
        <f>IF(A16="","",COUNT(F16:H16))</f>
        <v/>
      </c>
      <c r="M16" s="184">
        <f>IF(COUNT(F16:H16)=0,"",MIN(F16:H16))</f>
        <v/>
      </c>
    </row>
    <row r="17">
      <c r="A17" s="106" t="inlineStr">
        <is>
          <t>מובילים</t>
        </is>
      </c>
      <c r="B17" s="105" t="n"/>
      <c r="C17" s="105" t="n"/>
      <c r="D17" s="182" t="n"/>
      <c r="E17" s="105" t="n"/>
      <c r="F17" s="183" t="n"/>
      <c r="G17" s="183" t="n"/>
      <c r="H17" s="183" t="n"/>
      <c r="I17" s="105" t="inlineStr">
        <is>
          <t>לא התחיל</t>
        </is>
      </c>
      <c r="J17" s="105" t="inlineStr">
        <is>
          <t>T-061</t>
        </is>
      </c>
      <c r="K17" s="105" t="n"/>
      <c r="L17" s="108">
        <f>IF(A17="","",COUNT(F17:H17))</f>
        <v/>
      </c>
      <c r="M17" s="184">
        <f>IF(COUNT(F17:H17)=0,"",MIN(F17:H17))</f>
        <v/>
      </c>
    </row>
    <row r="18">
      <c r="A18" s="106" t="inlineStr">
        <is>
          <t>בעל הדירה הנוכחית</t>
        </is>
      </c>
      <c r="B18" s="105" t="n"/>
      <c r="C18" s="105" t="n"/>
      <c r="D18" s="182" t="n"/>
      <c r="E18" s="105" t="n"/>
      <c r="F18" s="183" t="n"/>
      <c r="G18" s="183" t="n"/>
      <c r="H18" s="183" t="n"/>
      <c r="I18" s="105" t="inlineStr">
        <is>
          <t>לא התחיל</t>
        </is>
      </c>
      <c r="J18" s="105" t="inlineStr">
        <is>
          <t>T-060</t>
        </is>
      </c>
      <c r="K18" s="105" t="n"/>
      <c r="L18" s="108">
        <f>IF(A18="","",COUNT(F18:H18))</f>
        <v/>
      </c>
      <c r="M18" s="184">
        <f>IF(COUNT(F18:H18)=0,"",MIN(F18:H18))</f>
        <v/>
      </c>
    </row>
    <row r="19">
      <c r="A19" s="106" t="inlineStr">
        <is>
          <t>חברת חשמל</t>
        </is>
      </c>
      <c r="B19" s="105" t="n"/>
      <c r="C19" s="105" t="n"/>
      <c r="D19" s="182" t="n"/>
      <c r="E19" s="105" t="n"/>
      <c r="F19" s="183" t="n"/>
      <c r="G19" s="183" t="n"/>
      <c r="H19" s="183" t="n"/>
      <c r="I19" s="105" t="inlineStr">
        <is>
          <t>לא התחיל</t>
        </is>
      </c>
      <c r="J19" s="105" t="inlineStr">
        <is>
          <t>T-063</t>
        </is>
      </c>
      <c r="K19" s="105" t="n"/>
      <c r="L19" s="108">
        <f>IF(A19="","",COUNT(F19:H19))</f>
        <v/>
      </c>
      <c r="M19" s="184">
        <f>IF(COUNT(F19:H19)=0,"",MIN(F19:H19))</f>
        <v/>
      </c>
    </row>
    <row r="20">
      <c r="A20" s="106" t="inlineStr">
        <is>
          <t>מים/ארנונה — מועצה</t>
        </is>
      </c>
      <c r="B20" s="105" t="n"/>
      <c r="C20" s="105" t="n"/>
      <c r="D20" s="182" t="n"/>
      <c r="E20" s="105" t="n"/>
      <c r="F20" s="183" t="n"/>
      <c r="G20" s="183" t="n"/>
      <c r="H20" s="183" t="n"/>
      <c r="I20" s="105" t="inlineStr">
        <is>
          <t>לא התחיל</t>
        </is>
      </c>
      <c r="J20" s="105" t="inlineStr">
        <is>
          <t>T-064</t>
        </is>
      </c>
      <c r="K20" s="105" t="n"/>
      <c r="L20" s="108">
        <f>IF(A20="","",COUNT(F20:H20))</f>
        <v/>
      </c>
      <c r="M20" s="184">
        <f>IF(COUNT(F20:H20)=0,"",MIN(F20:H20))</f>
        <v/>
      </c>
    </row>
    <row r="21">
      <c r="A21" s="106" t="inlineStr">
        <is>
          <t>ספק גז</t>
        </is>
      </c>
      <c r="B21" s="105" t="n"/>
      <c r="C21" s="105" t="n"/>
      <c r="D21" s="182" t="n"/>
      <c r="E21" s="105" t="n"/>
      <c r="F21" s="183" t="n"/>
      <c r="G21" s="183" t="n"/>
      <c r="H21" s="183" t="n"/>
      <c r="I21" s="105" t="inlineStr">
        <is>
          <t>לא התחיל</t>
        </is>
      </c>
      <c r="J21" s="105" t="inlineStr">
        <is>
          <t>T-065</t>
        </is>
      </c>
      <c r="K21" s="105" t="n"/>
      <c r="L21" s="108">
        <f>IF(A21="","",COUNT(F21:H21))</f>
        <v/>
      </c>
      <c r="M21" s="184">
        <f>IF(COUNT(F21:H21)=0,"",MIN(F21:H21))</f>
        <v/>
      </c>
    </row>
    <row r="22">
      <c r="A22" s="106" t="inlineStr">
        <is>
          <t>אינטרנט</t>
        </is>
      </c>
      <c r="B22" s="105" t="n"/>
      <c r="C22" s="105" t="n"/>
      <c r="D22" s="182" t="n"/>
      <c r="E22" s="105" t="n"/>
      <c r="F22" s="183" t="n"/>
      <c r="G22" s="183" t="n"/>
      <c r="H22" s="183" t="n"/>
      <c r="I22" s="105" t="inlineStr">
        <is>
          <t>לא התחיל</t>
        </is>
      </c>
      <c r="J22" s="105" t="inlineStr">
        <is>
          <t>T-066</t>
        </is>
      </c>
      <c r="K22" s="105" t="n"/>
      <c r="L22" s="108">
        <f>IF(A22="","",COUNT(F22:H22))</f>
        <v/>
      </c>
      <c r="M22" s="184">
        <f>IF(COUNT(F22:H22)=0,"",MIN(F22:H22))</f>
        <v/>
      </c>
    </row>
    <row r="23">
      <c r="A23" s="106" t="inlineStr">
        <is>
          <t>ביטוח</t>
        </is>
      </c>
      <c r="B23" s="105" t="n"/>
      <c r="C23" s="105" t="n"/>
      <c r="D23" s="182" t="n"/>
      <c r="E23" s="105" t="n"/>
      <c r="F23" s="183" t="n"/>
      <c r="G23" s="183" t="n"/>
      <c r="H23" s="183" t="n"/>
      <c r="I23" s="105" t="inlineStr">
        <is>
          <t>לא התחיל</t>
        </is>
      </c>
      <c r="J23" s="105" t="inlineStr">
        <is>
          <t>T-068</t>
        </is>
      </c>
      <c r="K23" s="105" t="n"/>
      <c r="L23" s="108">
        <f>IF(A23="","",COUNT(F23:H23))</f>
        <v/>
      </c>
      <c r="M23" s="184">
        <f>IF(COUNT(F23:H23)=0,"",MIN(F23:H23))</f>
        <v/>
      </c>
    </row>
    <row r="24">
      <c r="A24" s="106" t="inlineStr">
        <is>
          <t>גנן/פיתוח</t>
        </is>
      </c>
      <c r="B24" s="105" t="n"/>
      <c r="C24" s="105" t="n"/>
      <c r="D24" s="182" t="n"/>
      <c r="E24" s="105" t="n"/>
      <c r="F24" s="183" t="n"/>
      <c r="G24" s="183" t="n"/>
      <c r="H24" s="183" t="n"/>
      <c r="I24" s="105" t="inlineStr">
        <is>
          <t>לא התחיל</t>
        </is>
      </c>
      <c r="J24" s="105" t="inlineStr">
        <is>
          <t>T-071</t>
        </is>
      </c>
      <c r="K24" s="105" t="n"/>
      <c r="L24" s="108">
        <f>IF(A24="","",COUNT(F24:H24))</f>
        <v/>
      </c>
      <c r="M24" s="184">
        <f>IF(COUNT(F24:H24)=0,"",MIN(F24:H24))</f>
        <v/>
      </c>
    </row>
    <row r="25">
      <c r="A25" s="106" t="n"/>
      <c r="B25" s="105" t="n"/>
      <c r="C25" s="105" t="n"/>
      <c r="D25" s="182" t="n"/>
      <c r="E25" s="105" t="n"/>
      <c r="F25" s="183" t="n"/>
      <c r="G25" s="183" t="n"/>
      <c r="H25" s="183" t="n"/>
      <c r="I25" s="105" t="n"/>
      <c r="J25" s="105" t="n"/>
      <c r="K25" s="105" t="n"/>
      <c r="L25" s="108">
        <f>IF(A25="","",COUNT(F25:H25))</f>
        <v/>
      </c>
      <c r="M25" s="184">
        <f>IF(COUNT(F25:H25)=0,"",MIN(F25:H25))</f>
        <v/>
      </c>
    </row>
    <row r="26">
      <c r="A26" s="106" t="n"/>
      <c r="B26" s="105" t="n"/>
      <c r="C26" s="105" t="n"/>
      <c r="D26" s="182" t="n"/>
      <c r="E26" s="105" t="n"/>
      <c r="F26" s="183" t="n"/>
      <c r="G26" s="183" t="n"/>
      <c r="H26" s="183" t="n"/>
      <c r="I26" s="105" t="n"/>
      <c r="J26" s="105" t="n"/>
      <c r="K26" s="105" t="n"/>
      <c r="L26" s="108">
        <f>IF(A26="","",COUNT(F26:H26))</f>
        <v/>
      </c>
      <c r="M26" s="184">
        <f>IF(COUNT(F26:H26)=0,"",MIN(F26:H26))</f>
        <v/>
      </c>
    </row>
    <row r="27">
      <c r="A27" s="106" t="n"/>
      <c r="B27" s="105" t="n"/>
      <c r="C27" s="105" t="n"/>
      <c r="D27" s="182" t="n"/>
      <c r="E27" s="105" t="n"/>
      <c r="F27" s="183" t="n"/>
      <c r="G27" s="183" t="n"/>
      <c r="H27" s="183" t="n"/>
      <c r="I27" s="105" t="n"/>
      <c r="J27" s="105" t="n"/>
      <c r="K27" s="105" t="n"/>
      <c r="L27" s="108">
        <f>IF(A27="","",COUNT(F27:H27))</f>
        <v/>
      </c>
      <c r="M27" s="184">
        <f>IF(COUNT(F27:H27)=0,"",MIN(F27:H27))</f>
        <v/>
      </c>
    </row>
    <row r="28">
      <c r="A28" s="106" t="n"/>
      <c r="B28" s="105" t="n"/>
      <c r="C28" s="105" t="n"/>
      <c r="D28" s="182" t="n"/>
      <c r="E28" s="105" t="n"/>
      <c r="F28" s="183" t="n"/>
      <c r="G28" s="183" t="n"/>
      <c r="H28" s="183" t="n"/>
      <c r="I28" s="105" t="n"/>
      <c r="J28" s="105" t="n"/>
      <c r="K28" s="105" t="n"/>
      <c r="L28" s="108">
        <f>IF(A28="","",COUNT(F28:H28))</f>
        <v/>
      </c>
      <c r="M28" s="184">
        <f>IF(COUNT(F28:H28)=0,"",MIN(F28:H28))</f>
        <v/>
      </c>
    </row>
    <row r="29">
      <c r="A29" s="106" t="n"/>
      <c r="B29" s="105" t="n"/>
      <c r="C29" s="105" t="n"/>
      <c r="D29" s="182" t="n"/>
      <c r="E29" s="105" t="n"/>
      <c r="F29" s="183" t="n"/>
      <c r="G29" s="183" t="n"/>
      <c r="H29" s="183" t="n"/>
      <c r="I29" s="105" t="n"/>
      <c r="J29" s="105" t="n"/>
      <c r="K29" s="105" t="n"/>
      <c r="L29" s="108">
        <f>IF(A29="","",COUNT(F29:H29))</f>
        <v/>
      </c>
      <c r="M29" s="184">
        <f>IF(COUNT(F29:H29)=0,"",MIN(F29:H29))</f>
        <v/>
      </c>
    </row>
    <row r="30">
      <c r="A30" s="106" t="n"/>
      <c r="B30" s="105" t="n"/>
      <c r="C30" s="105" t="n"/>
      <c r="D30" s="182" t="n"/>
      <c r="E30" s="105" t="n"/>
      <c r="F30" s="183" t="n"/>
      <c r="G30" s="183" t="n"/>
      <c r="H30" s="183" t="n"/>
      <c r="I30" s="105" t="n"/>
      <c r="J30" s="105" t="n"/>
      <c r="K30" s="105" t="n"/>
      <c r="L30" s="108">
        <f>IF(A30="","",COUNT(F30:H30))</f>
        <v/>
      </c>
      <c r="M30" s="184">
        <f>IF(COUNT(F30:H30)=0,"",MIN(F30:H30))</f>
        <v/>
      </c>
    </row>
    <row r="31">
      <c r="A31" s="106" t="n"/>
      <c r="B31" s="105" t="n"/>
      <c r="C31" s="105" t="n"/>
      <c r="D31" s="182" t="n"/>
      <c r="E31" s="105" t="n"/>
      <c r="F31" s="183" t="n"/>
      <c r="G31" s="183" t="n"/>
      <c r="H31" s="183" t="n"/>
      <c r="I31" s="105" t="n"/>
      <c r="J31" s="105" t="n"/>
      <c r="K31" s="105" t="n"/>
      <c r="L31" s="108">
        <f>IF(A31="","",COUNT(F31:H31))</f>
        <v/>
      </c>
      <c r="M31" s="184">
        <f>IF(COUNT(F31:H31)=0,"",MIN(F31:H31))</f>
        <v/>
      </c>
    </row>
    <row r="32">
      <c r="A32" s="106" t="n"/>
      <c r="B32" s="105" t="n"/>
      <c r="C32" s="105" t="n"/>
      <c r="D32" s="182" t="n"/>
      <c r="E32" s="105" t="n"/>
      <c r="F32" s="183" t="n"/>
      <c r="G32" s="183" t="n"/>
      <c r="H32" s="183" t="n"/>
      <c r="I32" s="105" t="n"/>
      <c r="J32" s="105" t="n"/>
      <c r="K32" s="105" t="n"/>
      <c r="L32" s="108">
        <f>IF(A32="","",COUNT(F32:H32))</f>
        <v/>
      </c>
      <c r="M32" s="184">
        <f>IF(COUNT(F32:H32)=0,"",MIN(F32:H32))</f>
        <v/>
      </c>
    </row>
    <row r="33">
      <c r="A33" s="106" t="n"/>
      <c r="B33" s="105" t="n"/>
      <c r="C33" s="105" t="n"/>
      <c r="D33" s="182" t="n"/>
      <c r="E33" s="105" t="n"/>
      <c r="F33" s="183" t="n"/>
      <c r="G33" s="183" t="n"/>
      <c r="H33" s="183" t="n"/>
      <c r="I33" s="105" t="n"/>
      <c r="J33" s="105" t="n"/>
      <c r="K33" s="105" t="n"/>
      <c r="L33" s="108">
        <f>IF(A33="","",COUNT(F33:H33))</f>
        <v/>
      </c>
      <c r="M33" s="184">
        <f>IF(COUNT(F33:H33)=0,"",MIN(F33:H33))</f>
        <v/>
      </c>
    </row>
    <row r="34">
      <c r="A34" s="106" t="n"/>
      <c r="B34" s="105" t="n"/>
      <c r="C34" s="105" t="n"/>
      <c r="D34" s="182" t="n"/>
      <c r="E34" s="105" t="n"/>
      <c r="F34" s="183" t="n"/>
      <c r="G34" s="183" t="n"/>
      <c r="H34" s="183" t="n"/>
      <c r="I34" s="105" t="n"/>
      <c r="J34" s="105" t="n"/>
      <c r="K34" s="105" t="n"/>
      <c r="L34" s="108">
        <f>IF(A34="","",COUNT(F34:H34))</f>
        <v/>
      </c>
      <c r="M34" s="184">
        <f>IF(COUNT(F34:H34)=0,"",MIN(F34:H34))</f>
        <v/>
      </c>
    </row>
  </sheetData>
  <mergeCells count="2">
    <mergeCell ref="A2:M2"/>
    <mergeCell ref="A1:M1"/>
  </mergeCells>
  <conditionalFormatting sqref="A5:M34">
    <cfRule type="expression" priority="1" dxfId="12">
      <formula>AND($A5&lt;&gt;"",MOD(ROW(),2)=0)</formula>
    </cfRule>
  </conditionalFormatting>
  <conditionalFormatting sqref="I5:I34">
    <cfRule type="expression" priority="2" dxfId="2">
      <formula>$I5="לא התחיל"</formula>
    </cfRule>
    <cfRule type="expression" priority="3" dxfId="3">
      <formula>$I5="בתהליך"</formula>
    </cfRule>
    <cfRule type="expression" priority="4" dxfId="4">
      <formula>$I5="התקבלו הצעות"</formula>
    </cfRule>
    <cfRule type="expression" priority="5" dxfId="7">
      <formula>$I5="נבחר"</formula>
    </cfRule>
    <cfRule type="expression" priority="6" dxfId="8">
      <formula>$I5="בוטל"</formula>
    </cfRule>
  </conditionalFormatting>
  <conditionalFormatting sqref="L5:L34">
    <cfRule type="expression" priority="7" dxfId="7">
      <formula>AND(ISNUMBER($L5),$L5&gt;=3)</formula>
    </cfRule>
    <cfRule type="expression" priority="8" dxfId="45">
      <formula>AND(ISNUMBER($L5),$L5&lt;3)</formula>
    </cfRule>
  </conditionalFormatting>
  <dataValidations count="1">
    <dataValidation sqref="I5:I34" showDropDown="0" showInputMessage="0" showErrorMessage="0" allowBlank="1" type="list">
      <formula1>"לא התחיל,בתהליך,התקבלו הצעות,נבחר,בוטל"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&amp;N&amp;R&amp;A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B1:C38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 ht="38" customHeight="1">
      <c r="B1" s="185" t="inlineStr">
        <is>
          <t>❓ איך משתמשים בקובץ</t>
        </is>
      </c>
      <c r="C1" s="185" t="n"/>
    </row>
    <row r="2" ht="20" customHeight="1">
      <c r="B2" s="3" t="inlineStr">
        <is>
          <t>קובץ ניהול שיפוץ — בית אלון · גרסת "אפליקציה" (11.10.2026)</t>
        </is>
      </c>
      <c r="C2" s="3" t="n"/>
    </row>
    <row r="4" ht="24" customHeight="1">
      <c r="B4" s="186" t="inlineStr">
        <is>
          <t>🧭 שגרת עבודה</t>
        </is>
      </c>
      <c r="C4" s="186" t="n"/>
    </row>
    <row r="5" ht="30" customHeight="1">
      <c r="B5" s="187" t="inlineStr">
        <is>
          <t>ישיבה קבועה</t>
        </is>
      </c>
      <c r="C5" s="105" t="inlineStr">
        <is>
          <t>פ״ע אריאל &amp; רינת &amp; תמר — כל 1–2 שבועות, 60–90 דק'. סדר קבוע: (א) מה נסגר, (ב) החלטות שנדרשות היום, (ג) משימות לשבוע הבא + אחראי, (ד) עדכון סטטוס בקובץ.</t>
        </is>
      </c>
    </row>
    <row r="6" ht="30" customHeight="1">
      <c r="B6" s="187" t="inlineStr">
        <is>
          <t>מקור אמת</t>
        </is>
      </c>
      <c r="C6" s="105" t="inlineStr">
        <is>
          <t>לשונית "משימות" (מזהי T-xxx). החלטות נרשמות ב-decision_log.md, שאלות ב-open_questions.md, סיכונים ב-risk_register.md, תקציב ב-budget_tracker.</t>
        </is>
      </c>
    </row>
    <row r="7" ht="24" customHeight="1">
      <c r="B7" s="186" t="inlineStr">
        <is>
          <t>🎛️ החלפת תרחיש</t>
        </is>
      </c>
      <c r="C7" s="186" t="n"/>
    </row>
    <row r="8" ht="30" customHeight="1">
      <c r="B8" s="187" t="inlineStr">
        <is>
          <t>בחירת A / B</t>
        </is>
      </c>
      <c r="C8" s="105" t="inlineStr">
        <is>
          <t>בלוח הבקרה, תא "תרחיש פעיל" (D4, צהוב) → בוחרים A (מפתח 1.12.2026) או B (מפתח 5.1.2027) מהרשימה. כל התאריכים הפעילים, הגאנט, הספירות, ימים למפתח ורשימת 14 הימים מתעדכנים.</t>
        </is>
      </c>
    </row>
    <row r="9" ht="45" customHeight="1">
      <c r="B9" s="187" t="inlineStr">
        <is>
          <t>מפתח בפועל</t>
        </is>
      </c>
      <c r="C9" s="105" t="inlineStr">
        <is>
          <t>כשמועד המפתח נקבע — מזינים אותו בתא "מפתח בפועל" (K4). משימות Mode=K ואבני דרך תלויות-מפתח זזות אוטומטית לפי ההפרש ממפתח מוקדם (1.12.2026). משימות Mode=F נשארות קבועות. מחיקת התא מחזירה לתרחיש.</t>
        </is>
      </c>
    </row>
    <row r="10" ht="30" customHeight="1">
      <c r="B10" s="187" t="inlineStr">
        <is>
          <t>"היום" לבדיקה</t>
        </is>
      </c>
      <c r="C10" s="105" t="inlineStr">
        <is>
          <t>תא N4: אפשר להזין תאריך כדי לראות איך הלוח ייראה בתאריך אחר (איחורים, 14 יום). ריק = התאריך של היום.</t>
        </is>
      </c>
    </row>
    <row r="11" ht="24" customHeight="1">
      <c r="B11" s="186" t="inlineStr">
        <is>
          <t>✏️ עדכון משימות</t>
        </is>
      </c>
      <c r="C11" s="186" t="n"/>
    </row>
    <row r="12" ht="45" customHeight="1">
      <c r="B12" s="187" t="inlineStr">
        <is>
          <t>סטטוס</t>
        </is>
      </c>
      <c r="C12" s="105" t="inlineStr">
        <is>
          <t>בלשונית "משימות" עמודת "סטטוס" (צהובה) → בחירה מרשימה: לא התחיל / בתהליך / ממתין / תקוע / הושלם / בוטל. "באיחור" לא בוחרים — הוא מחושב אוטומטית בעמודת ⚡ כשתאריך היעד הפעיל עבר והמשימה לא הושלמה.</t>
        </is>
      </c>
    </row>
    <row r="13" ht="18" customHeight="1">
      <c r="B13" s="187" t="inlineStr">
        <is>
          <t>התקדמות %</t>
        </is>
      </c>
      <c r="C13" s="105" t="inlineStr">
        <is>
          <t>ריק = לפי סטטוס (הושלם 100%, בתהליך 50%, ממתין/תקוע 25%, אחרת 0%). אפשר לדרוס בעמודה "% ידני".</t>
        </is>
      </c>
    </row>
    <row r="14" ht="18" customHeight="1">
      <c r="B14" s="187" t="inlineStr">
        <is>
          <t>עדיפות</t>
        </is>
      </c>
      <c r="C14" s="105" t="inlineStr">
        <is>
          <t>גבוהה / בינונית / נמוכה. הוגדרה ראשונית לפי הנתיב הקריטי ו-10 ההחלטות — כדאי לעבור ולעדכן.</t>
        </is>
      </c>
    </row>
    <row r="15" ht="18" customHeight="1">
      <c r="B15" s="187" t="inlineStr">
        <is>
          <t>תאריכים</t>
        </is>
      </c>
      <c r="C15" s="105" t="inlineStr">
        <is>
          <t>מעדכנים רק את עמודות מוקדם/מאוחר (התחלה/יעד). העמודות ▶ ו-🎯 (פעיל) מחושבות — לא לכתוב עליהן.</t>
        </is>
      </c>
    </row>
    <row r="16" ht="30" customHeight="1">
      <c r="B16" s="187" t="inlineStr">
        <is>
          <t>משימה חדשה</t>
        </is>
      </c>
      <c r="C16" s="105" t="inlineStr">
        <is>
          <t>יש שורות ריקות בתחתית הטבלה עם נוסחאות מוכנות. ממלאים ID, שלב, משימה, אחראי, Mode ותאריכים. שלב חדש שלא קיים ברשימה ייספר בסה"כ אך לא יופיע בטבלת השלבים בלוח הבקרה.</t>
        </is>
      </c>
    </row>
    <row r="17" ht="30" customHeight="1">
      <c r="B17" s="187" t="inlineStr">
        <is>
          <t>סינון ומיון</t>
        </is>
      </c>
      <c r="C17" s="105" t="inlineStr">
        <is>
          <t>בכותרות הטבלה יש חיצי סינון (לפי אחראי, שלב, סטטוס, עדיפות...). מיון הטבלה משנה גם את סדר שורות הגאנט.</t>
        </is>
      </c>
    </row>
    <row r="18" ht="24" customHeight="1">
      <c r="B18" s="186" t="inlineStr">
        <is>
          <t>📑 הלשוניות</t>
        </is>
      </c>
      <c r="C18" s="186" t="n"/>
    </row>
    <row r="19" ht="30" customHeight="1">
      <c r="B19" s="187" t="inlineStr">
        <is>
          <t>לוח בקרה</t>
        </is>
      </c>
      <c r="C19" s="105" t="inlineStr">
        <is>
          <t>כרטיסי KPI, התקדמות לפי שלב (פסי נתונים + גרף), 14 הימים הקרובים, החלטות קריטיות הבאות, אבני דרך הבאות, התפלגות מצב.</t>
        </is>
      </c>
    </row>
    <row r="20" ht="18" customHeight="1">
      <c r="B20" s="187" t="inlineStr">
        <is>
          <t>משימות</t>
        </is>
      </c>
      <c r="C20" s="105" t="inlineStr">
        <is>
          <t>טבלת Excel מלאה של כל המשימות (כל הנתונים המקוריים + עמודות מחושבות).</t>
        </is>
      </c>
    </row>
    <row r="21" ht="30" customHeight="1">
      <c r="B21" s="187" t="inlineStr">
        <is>
          <t>גאנט</t>
        </is>
      </c>
      <c r="C21" s="105" t="inlineStr">
        <is>
          <t>פסים שבועיים אוקטובר 2026–אפריל 2027 לפי התרחיש הפעיל; צבע = מצב; ◆ = אבן דרך; עמודה צהובה = השבוע; כותרת כתומה = שבוע המפתח.</t>
        </is>
      </c>
    </row>
    <row r="22" ht="18" customHeight="1">
      <c r="B22" s="187" t="inlineStr">
        <is>
          <t>לפי אחראי</t>
        </is>
      </c>
      <c r="C22" s="105" t="inlineStr">
        <is>
          <t>משימות פתוחות של אריאל / רינת / תמר / אנשי מקצוע, ממוינות לפי יעד.</t>
        </is>
      </c>
    </row>
    <row r="23" ht="30" customHeight="1">
      <c r="B23" s="187" t="inlineStr">
        <is>
          <t>קנבן</t>
        </is>
      </c>
      <c r="C23" s="105" t="inlineStr">
        <is>
          <t>כרטיסים לפי מצב (לא התחיל, בתהליך, ממתין/תקוע, באיחור, הושלם, בוטל). קריאה בלבד — משנים סטטוס בלשונית משימות.</t>
        </is>
      </c>
    </row>
    <row r="24" ht="18" customHeight="1">
      <c r="B24" s="187" t="inlineStr">
        <is>
          <t>אבני דרך</t>
        </is>
      </c>
      <c r="C24" s="105" t="inlineStr">
        <is>
          <t>M1–M10 עם תאריך מוקדם/מאוחר/פעיל, ימים שנותרו ומצב.</t>
        </is>
      </c>
    </row>
    <row r="25" ht="18" customHeight="1">
      <c r="B25" s="187" t="inlineStr">
        <is>
          <t>החלטות</t>
        </is>
      </c>
      <c r="C25" s="105" t="inlineStr">
        <is>
          <t>10 ההחלטות הקריטיות + שער A/B. אחראי/יעד/מצב נמשכים מהמשימה המקושרת (עמודה צהובה).</t>
        </is>
      </c>
    </row>
    <row r="26" ht="18" customHeight="1">
      <c r="B26" s="187" t="inlineStr">
        <is>
          <t>אנשי קשר והצעות</t>
        </is>
      </c>
      <c r="C26" s="105" t="inlineStr">
        <is>
          <t>אנשי קשר ו-3 הצעות לכל תחום; מחושבים מספר ההצעות וההצעה הנמוכה.</t>
        </is>
      </c>
    </row>
    <row r="27" ht="24" customHeight="1">
      <c r="B27" s="186" t="inlineStr">
        <is>
          <t>📏 כללים (מהגרסה הקודמת)</t>
        </is>
      </c>
      <c r="C27" s="186" t="n"/>
    </row>
    <row r="28" ht="30" customHeight="1">
      <c r="B28" s="187" t="inlineStr">
        <is>
          <t>•</t>
        </is>
      </c>
      <c r="C28" s="105" t="inlineStr">
        <is>
          <t>שיטה: ישיבת עבודה שבועית קצרה (פ״ע אריאל &amp; רינת &amp; תמר) → עדכון סטטוס בלשונית Tasks → החלטות נרשמות ב-decision_log.md, שאלות ב-open_questions.md, סיכונים ב-risk_register.md.</t>
        </is>
      </c>
    </row>
    <row r="29" ht="30" customHeight="1">
      <c r="B29" s="187" t="inlineStr">
        <is>
          <t>•</t>
        </is>
      </c>
      <c r="C29" s="105" t="inlineStr">
        <is>
          <t>Tasks: כל משימה עם מזהה T-xxx. Mode=F → תאריך קבוע; Mode=K → יחסי למועד המפתח (ימים). עמודות Early = מפתח 1.12.2026, Late = מפתח 5.1.2027.</t>
        </is>
      </c>
    </row>
    <row r="30" ht="30" customHeight="1">
      <c r="B30" s="187" t="inlineStr">
        <is>
          <t>•</t>
        </is>
      </c>
      <c r="C30" s="105" t="inlineStr">
        <is>
          <t>כשמועד המפתח ייקבע: לעדכן בלשונית Milestones את Key date בפועל (תא B2) ולעדכן תאריכים ידנית/לפי עמודת Late/Early הקרובה.</t>
        </is>
      </c>
    </row>
    <row r="31" ht="18" customHeight="1">
      <c r="B31" s="187" t="inlineStr">
        <is>
          <t>•</t>
        </is>
      </c>
      <c r="C31" s="105" t="inlineStr">
        <is>
          <t>סטטוס: לא התחיל / בתהליך / ממתין / הושלם / בוטל. עדכון ע"י הבעלים.</t>
        </is>
      </c>
    </row>
    <row r="32" ht="18" customHeight="1">
      <c r="B32" s="187" t="inlineStr">
        <is>
          <t>•</t>
        </is>
      </c>
      <c r="C32" s="105" t="inlineStr">
        <is>
          <t>Timeline: תצוגת גאנט שבועית לפי תרחיש מוקדם (■) ותרחיש מאוחר (□).</t>
        </is>
      </c>
    </row>
    <row r="33" ht="30" customHeight="1">
      <c r="B33" s="187" t="inlineStr">
        <is>
          <t>•</t>
        </is>
      </c>
      <c r="C33" s="105" t="inlineStr">
        <is>
          <t>כללים: אין רכישה/הזמנה/פנייה לספק ללא אישור מפורש של אריאל. כל מספר שלא אומת מסומן 'לא אומת'. משכי עבודות אחרי מפתח הם הנחות לתכנון בלבד.</t>
        </is>
      </c>
    </row>
    <row r="34" ht="18" customHeight="1">
      <c r="B34" s="187" t="inlineStr">
        <is>
          <t>•</t>
        </is>
      </c>
      <c r="C34" s="105" t="inlineStr">
        <is>
          <t>Contacts: למלא אנשי קשר ושלוש הצעות מחיר לכל תחום.</t>
        </is>
      </c>
    </row>
    <row r="35" ht="24" customHeight="1">
      <c r="B35" s="186" t="inlineStr">
        <is>
          <t>⚠️ מגבלות</t>
        </is>
      </c>
      <c r="C35" s="186" t="n"/>
    </row>
    <row r="36" ht="30" customHeight="1">
      <c r="B36" s="187" t="inlineStr">
        <is>
          <t>תאימות</t>
        </is>
      </c>
      <c r="C36" s="105" t="inlineStr">
        <is>
          <t>הקובץ משתמש בנוסחאות קלאסיות (INDEX/MATCH/SMALL/COUNTIFS) שעובדות ב-Excel 2010+, Excel 365, Google Sheets ו-LibreOffice. אין צורך ב-FILTER/SORT.</t>
        </is>
      </c>
    </row>
    <row r="37" ht="18" customHeight="1">
      <c r="B37" s="187" t="inlineStr">
        <is>
          <t>Google Sheets</t>
        </is>
      </c>
      <c r="C37" s="105" t="inlineStr">
        <is>
          <t>סגנון "טבלה" של Excel והגרפים עלולים להיראות מעט שונה; פסי הנתונים, הצבעים והרשימות נשמרים.</t>
        </is>
      </c>
    </row>
    <row r="38" ht="18" customHeight="1">
      <c r="B38" s="187" t="inlineStr">
        <is>
          <t>לא אומת</t>
        </is>
      </c>
      <c r="C38" s="105" t="inlineStr">
        <is>
          <t>תאריך פינוי 1.12 ומשכי העבודות אחרי המפתח הם הנחות תכנון בלבד.</t>
        </is>
      </c>
    </row>
  </sheetData>
  <mergeCells count="8">
    <mergeCell ref="B2:C2"/>
    <mergeCell ref="B7:C7"/>
    <mergeCell ref="B11:C11"/>
    <mergeCell ref="B27:C27"/>
    <mergeCell ref="B18:C18"/>
    <mergeCell ref="B1:C1"/>
    <mergeCell ref="B35:C35"/>
    <mergeCell ref="B4:C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&amp;C&amp;P / &amp;N&amp;R&amp;A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2026-10-10T22:59:47Z</dcterms:created>
  <dcterms:modified xmlns:dcterms="http://purl.org/dc/terms/" xmlns:xsi="http://www.w3.org/2001/XMLSchema-instance" xsi:type="dcterms:W3CDTF">2026-10-10T22:59:48Z</dcterms:modified>
</cp:coreProperties>
</file>